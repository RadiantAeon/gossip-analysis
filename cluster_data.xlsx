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070b12e8d174cd/Documents/cmsc396h/"/>
    </mc:Choice>
  </mc:AlternateContent>
  <xr:revisionPtr revIDLastSave="145" documentId="8_{456F006D-B830-474C-980D-B20AB7ADBCD7}" xr6:coauthVersionLast="47" xr6:coauthVersionMax="47" xr10:uidLastSave="{6271B799-0B59-49AF-B021-717F04ECCD57}"/>
  <bookViews>
    <workbookView minimized="1" xWindow="1820" yWindow="1820" windowWidth="14400" windowHeight="7270" firstSheet="9" xr2:uid="{C335AA9C-79B6-4E49-99E5-E04B697901EF}"/>
  </bookViews>
  <sheets>
    <sheet name="METADATA" sheetId="19" r:id="rId1"/>
    <sheet name="Surfpool" sheetId="3" r:id="rId2"/>
    <sheet name="Coinbase 04" sheetId="17" r:id="rId3"/>
    <sheet name="Sarmina" sheetId="16" r:id="rId4"/>
    <sheet name="Honeybee" sheetId="15" r:id="rId5"/>
    <sheet name="Solana Mobile" sheetId="18" r:id="rId6"/>
    <sheet name="Coinbase 02" sheetId="14" r:id="rId7"/>
    <sheet name="Backpack" sheetId="13" r:id="rId8"/>
    <sheet name="Firedancer Development" sheetId="12" r:id="rId9"/>
    <sheet name="Nomis" sheetId="11" r:id="rId10"/>
    <sheet name="Coinbase" sheetId="10" r:id="rId11"/>
    <sheet name="Hivefi.xyz" sheetId="9" r:id="rId12"/>
    <sheet name="SkipLine" sheetId="8" r:id="rId13"/>
    <sheet name="livechanger" sheetId="7" r:id="rId14"/>
    <sheet name="Akkuria" sheetId="6" r:id="rId15"/>
    <sheet name="CaveyCool" sheetId="5" r:id="rId16"/>
  </sheets>
  <definedNames>
    <definedName name="ExternalData_1" localSheetId="15" hidden="1">'CaveyCool'!$A$1:$F$18</definedName>
    <definedName name="ExternalData_1" localSheetId="1" hidden="1">Surfpool!$A$1:$F$41</definedName>
    <definedName name="ExternalData_10" localSheetId="6" hidden="1">'Coinbase 02'!$A$1:$F$6</definedName>
    <definedName name="ExternalData_11" localSheetId="4" hidden="1">Honeybee!$A$1:$F$20</definedName>
    <definedName name="ExternalData_11" localSheetId="5" hidden="1">'Solana Mobile'!$A$1:$F$12</definedName>
    <definedName name="ExternalData_12" localSheetId="3" hidden="1">Sarmina!$A$1:$F$5</definedName>
    <definedName name="ExternalData_13" localSheetId="2" hidden="1">'Coinbase 04'!$A$1:$F$5</definedName>
    <definedName name="ExternalData_2" localSheetId="14" hidden="1">Akkuria!$A$1:$F$6</definedName>
    <definedName name="ExternalData_3" localSheetId="13" hidden="1">livechanger!$A$1:$F$6</definedName>
    <definedName name="ExternalData_4" localSheetId="12" hidden="1">SkipLine!$A$1:$F$7</definedName>
    <definedName name="ExternalData_5" localSheetId="11" hidden="1">'Hivefi.xyz'!$A$1:$F$22</definedName>
    <definedName name="ExternalData_6" localSheetId="10" hidden="1">'Coinbase'!$A$1:$F$5</definedName>
    <definedName name="ExternalData_7" localSheetId="9" hidden="1">Nomis!$A$1:$F$4</definedName>
    <definedName name="ExternalData_8" localSheetId="8" hidden="1">'Firedancer Development'!$A$1:$F$6</definedName>
    <definedName name="ExternalData_9" localSheetId="7" hidden="1">Backpack!$A$1:$F$4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H2" i="5"/>
  <c r="I2" i="5"/>
  <c r="J2" i="5"/>
  <c r="G2" i="6"/>
  <c r="H2" i="6"/>
  <c r="I2" i="6"/>
  <c r="J2" i="6"/>
  <c r="G2" i="7"/>
  <c r="H2" i="7"/>
  <c r="I2" i="7"/>
  <c r="J2" i="7"/>
  <c r="G2" i="8"/>
  <c r="H2" i="8"/>
  <c r="I2" i="8"/>
  <c r="J2" i="8"/>
  <c r="G2" i="9"/>
  <c r="H2" i="9"/>
  <c r="I2" i="9"/>
  <c r="J2" i="9"/>
  <c r="G2" i="10"/>
  <c r="H2" i="10"/>
  <c r="I2" i="10"/>
  <c r="J2" i="10"/>
  <c r="G2" i="11"/>
  <c r="H2" i="11"/>
  <c r="I2" i="11"/>
  <c r="J2" i="11"/>
  <c r="G2" i="12"/>
  <c r="H2" i="12"/>
  <c r="I2" i="12"/>
  <c r="J2" i="12"/>
  <c r="G2" i="13"/>
  <c r="H2" i="13"/>
  <c r="I2" i="13"/>
  <c r="J2" i="13"/>
  <c r="G2" i="14"/>
  <c r="H2" i="14"/>
  <c r="I2" i="14"/>
  <c r="J2" i="14"/>
  <c r="G2" i="18"/>
  <c r="H2" i="18"/>
  <c r="I2" i="18"/>
  <c r="J2" i="18"/>
  <c r="G2" i="15"/>
  <c r="H2" i="15"/>
  <c r="I2" i="15"/>
  <c r="J2" i="15"/>
  <c r="G2" i="16"/>
  <c r="H2" i="16"/>
  <c r="I2" i="16"/>
  <c r="J2" i="16"/>
  <c r="G2" i="3"/>
  <c r="H2" i="3"/>
  <c r="I2" i="3"/>
  <c r="J2" i="3"/>
  <c r="J2" i="17"/>
  <c r="I2" i="17"/>
  <c r="H2" i="17"/>
  <c r="G2" i="17"/>
  <c r="B15" i="19"/>
  <c r="E11" i="19"/>
  <c r="D3" i="19"/>
  <c r="D11" i="19"/>
  <c r="C10" i="19"/>
  <c r="C7" i="19"/>
  <c r="B8" i="19"/>
  <c r="B6" i="19"/>
  <c r="E7" i="19"/>
  <c r="D10" i="19"/>
  <c r="D4" i="19"/>
  <c r="C12" i="19"/>
  <c r="C6" i="19"/>
  <c r="B12" i="19"/>
  <c r="B16" i="19"/>
  <c r="B13" i="19"/>
  <c r="E14" i="19"/>
  <c r="E15" i="19"/>
  <c r="D14" i="19"/>
  <c r="D8" i="19"/>
  <c r="C9" i="19"/>
  <c r="C4" i="19"/>
  <c r="B9" i="19"/>
  <c r="E5" i="19"/>
  <c r="E2" i="19"/>
  <c r="E6" i="19"/>
  <c r="D2" i="19"/>
  <c r="D7" i="19"/>
  <c r="C8" i="19"/>
  <c r="C16" i="19"/>
  <c r="E12" i="19"/>
  <c r="E4" i="19"/>
  <c r="D16" i="19"/>
  <c r="D15" i="19"/>
  <c r="C13" i="19"/>
  <c r="B3" i="19"/>
  <c r="B11" i="19"/>
  <c r="E10" i="19"/>
  <c r="D9" i="19"/>
  <c r="C15" i="19"/>
  <c r="E3" i="19"/>
  <c r="C2" i="19"/>
  <c r="B2" i="19"/>
  <c r="E9" i="19"/>
  <c r="E16" i="19"/>
  <c r="D12" i="19"/>
  <c r="D6" i="19"/>
  <c r="C11" i="19"/>
  <c r="B10" i="19"/>
  <c r="B4" i="19"/>
  <c r="E8" i="19"/>
  <c r="C14" i="19"/>
  <c r="B14" i="19"/>
  <c r="B7" i="19"/>
  <c r="E13" i="19"/>
  <c r="D13" i="19"/>
  <c r="C3" i="19"/>
  <c r="D5" i="19"/>
  <c r="C5" i="19"/>
  <c r="B5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F21082-74EF-4FB0-97DB-3FDC2425B404}" keepAlive="1" name="Query - cluster1" description="Connection to the 'cluster1' query in the workbook." type="5" refreshedVersion="8" background="1" saveData="1">
    <dbPr connection="Provider=Microsoft.Mashup.OleDb.1;Data Source=$Workbook$;Location=cluster1;Extended Properties=&quot;&quot;" command="SELECT * FROM [cluster1]"/>
  </connection>
  <connection id="2" xr16:uid="{2FEA7C5D-E410-465B-8A3D-2C6B22FDBFF9}" keepAlive="1" name="Query - cluster10" description="Connection to the 'cluster10' query in the workbook." type="5" refreshedVersion="8" background="1" saveData="1">
    <dbPr connection="Provider=Microsoft.Mashup.OleDb.1;Data Source=$Workbook$;Location=cluster10;Extended Properties=&quot;&quot;" command="SELECT * FROM [cluster10]"/>
  </connection>
  <connection id="3" xr16:uid="{D6A45AA8-EF40-4E32-84FD-7FBC04B7BD05}" keepAlive="1" name="Query - cluster11" description="Connection to the 'cluster11' query in the workbook." type="5" refreshedVersion="8" background="1" saveData="1">
    <dbPr connection="Provider=Microsoft.Mashup.OleDb.1;Data Source=$Workbook$;Location=cluster11;Extended Properties=&quot;&quot;" command="SELECT * FROM [cluster11]"/>
  </connection>
  <connection id="4" xr16:uid="{AF86B836-9F30-41BC-907B-408E55791E24}" keepAlive="1" name="Query - cluster12" description="Connection to the 'cluster12' query in the workbook." type="5" refreshedVersion="8" background="1" saveData="1">
    <dbPr connection="Provider=Microsoft.Mashup.OleDb.1;Data Source=$Workbook$;Location=cluster12;Extended Properties=&quot;&quot;" command="SELECT * FROM [cluster12]"/>
  </connection>
  <connection id="5" xr16:uid="{D909FADF-134A-4A23-B6DF-37BF0FE35943}" keepAlive="1" name="Query - cluster13" description="Connection to the 'cluster13' query in the workbook." type="5" refreshedVersion="8" background="1" saveData="1">
    <dbPr connection="Provider=Microsoft.Mashup.OleDb.1;Data Source=$Workbook$;Location=cluster13;Extended Properties=&quot;&quot;" command="SELECT * FROM [cluster13]"/>
  </connection>
  <connection id="6" xr16:uid="{64A79203-E7AA-46CE-B9DC-4E2D792E5E98}" keepAlive="1" name="Query - cluster14" description="Connection to the 'cluster14' query in the workbook." type="5" refreshedVersion="8" background="1" saveData="1">
    <dbPr connection="Provider=Microsoft.Mashup.OleDb.1;Data Source=$Workbook$;Location=cluster14;Extended Properties=&quot;&quot;" command="SELECT * FROM [cluster14]"/>
  </connection>
  <connection id="7" xr16:uid="{D4FED6B1-F575-4CC9-B373-C243FB1D8E72}" keepAlive="1" name="Query - cluster15" description="Connection to the 'cluster15' query in the workbook." type="5" refreshedVersion="8" background="1" saveData="1">
    <dbPr connection="Provider=Microsoft.Mashup.OleDb.1;Data Source=$Workbook$;Location=cluster15;Extended Properties=&quot;&quot;" command="SELECT * FROM [cluster15]"/>
  </connection>
  <connection id="8" xr16:uid="{0D85D9FA-81AF-4133-A5E8-0D33CA2D40B7}" keepAlive="1" name="Query - cluster2" description="Connection to the 'cluster2' query in the workbook." type="5" refreshedVersion="8" background="1" saveData="1">
    <dbPr connection="Provider=Microsoft.Mashup.OleDb.1;Data Source=$Workbook$;Location=cluster2;Extended Properties=&quot;&quot;" command="SELECT * FROM [cluster2]"/>
  </connection>
  <connection id="9" xr16:uid="{9B97DD96-DCC0-4A09-9B31-A52F2E5791A3}" keepAlive="1" name="Query - cluster3" description="Connection to the 'cluster3' query in the workbook." type="5" refreshedVersion="8" background="1" saveData="1">
    <dbPr connection="Provider=Microsoft.Mashup.OleDb.1;Data Source=$Workbook$;Location=cluster3;Extended Properties=&quot;&quot;" command="SELECT * FROM [cluster3]"/>
  </connection>
  <connection id="10" xr16:uid="{582D9272-11CA-49B5-BC8C-9AB0B64CA898}" keepAlive="1" name="Query - cluster4" description="Connection to the 'cluster4' query in the workbook." type="5" refreshedVersion="8" background="1" saveData="1">
    <dbPr connection="Provider=Microsoft.Mashup.OleDb.1;Data Source=$Workbook$;Location=cluster4;Extended Properties=&quot;&quot;" command="SELECT * FROM [cluster4]"/>
  </connection>
  <connection id="11" xr16:uid="{A7B732CC-FFE4-4FED-9889-1B1A9188B5EB}" keepAlive="1" name="Query - cluster5" description="Connection to the 'cluster5' query in the workbook." type="5" refreshedVersion="8" background="1" saveData="1">
    <dbPr connection="Provider=Microsoft.Mashup.OleDb.1;Data Source=$Workbook$;Location=cluster5;Extended Properties=&quot;&quot;" command="SELECT * FROM [cluster5]"/>
  </connection>
  <connection id="12" xr16:uid="{244EC551-00B5-4BEB-87AF-1CF43F0571A8}" keepAlive="1" name="Query - cluster6" description="Connection to the 'cluster6' query in the workbook." type="5" refreshedVersion="8" background="1" saveData="1">
    <dbPr connection="Provider=Microsoft.Mashup.OleDb.1;Data Source=$Workbook$;Location=cluster6;Extended Properties=&quot;&quot;" command="SELECT * FROM [cluster6]"/>
  </connection>
  <connection id="13" xr16:uid="{593BA8CC-54F1-48CB-97A1-95E8ACD0639A}" keepAlive="1" name="Query - cluster7" description="Connection to the 'cluster7' query in the workbook." type="5" refreshedVersion="8" background="1" saveData="1">
    <dbPr connection="Provider=Microsoft.Mashup.OleDb.1;Data Source=$Workbook$;Location=cluster7;Extended Properties=&quot;&quot;" command="SELECT * FROM [cluster7]"/>
  </connection>
  <connection id="14" xr16:uid="{27A82940-8F6F-4372-9361-F5E2E3648272}" keepAlive="1" name="Query - cluster8" description="Connection to the 'cluster8' query in the workbook." type="5" refreshedVersion="8" background="1" saveData="1">
    <dbPr connection="Provider=Microsoft.Mashup.OleDb.1;Data Source=$Workbook$;Location=cluster8;Extended Properties=&quot;&quot;" command="SELECT * FROM [cluster8]"/>
  </connection>
  <connection id="15" xr16:uid="{C56667DC-88EF-432E-9E6D-FDC66B670DF5}" keepAlive="1" name="Query - cluster9" description="Connection to the 'cluster9' query in the workbook." type="5" refreshedVersion="8" background="1" saveData="1">
    <dbPr connection="Provider=Microsoft.Mashup.OleDb.1;Data Source=$Workbook$;Location=cluster9;Extended Properties=&quot;&quot;" command="SELECT * FROM [cluster9]"/>
  </connection>
</connections>
</file>

<file path=xl/sharedStrings.xml><?xml version="1.0" encoding="utf-8"?>
<sst xmlns="http://schemas.openxmlformats.org/spreadsheetml/2006/main" count="778" uniqueCount="334">
  <si>
    <t>Identity</t>
  </si>
  <si>
    <t>Vote</t>
  </si>
  <si>
    <t>Stake (SOL)</t>
  </si>
  <si>
    <t>Jito Pool</t>
  </si>
  <si>
    <t>Jito Stake (SOL)</t>
  </si>
  <si>
    <t>SFDP Status</t>
  </si>
  <si>
    <t>9JdZLEKhA7k6SxRQ4cJT2Zh5JhRUBJGXcjTNwMtTwSiz</t>
  </si>
  <si>
    <t>7r1g7s6UjYuosRCHwedpGRCbJhZqM2LhUPxgoayRE6Rm</t>
  </si>
  <si>
    <t>yes</t>
  </si>
  <si>
    <t>Rejected</t>
  </si>
  <si>
    <t>pineXRUnbaLNFMxaM3zBmFfTiKgQMGqT9jYHXZWq2Fw</t>
  </si>
  <si>
    <t>pine9rHVDS1pjwdhYkx3vRyaAyRd5KPDKXZEXAqvxcX</t>
  </si>
  <si>
    <t>Approved</t>
  </si>
  <si>
    <t>hnhCMmnrmod4rcyc3QRKkLEC9XnPTvYJ2gBvjgFiV4o</t>
  </si>
  <si>
    <t>hnhxfrndd827LET6jvnQV4aWqpS2EedaHcT4gj8ArSu</t>
  </si>
  <si>
    <t>dst2u7mXMyDvb14cSErRNA1mxH1d5VXbSXgZ3DKE9xH</t>
  </si>
  <si>
    <t>dstqVmt3cDH43Ux2SeTY2Hza1eVW6pwGLwehWCLfuPd</t>
  </si>
  <si>
    <t>G1eAmANVWf6ZeoxG4aMbS1APauyEDHqLxHFytzk5hZqN</t>
  </si>
  <si>
    <t>G1EAMrJcvzs5SwqAQRgDTjYBEGrxxJVwNS7qiUtB3akg</t>
  </si>
  <si>
    <t>mythxvB89eT3C1TKwwhsvdHfYq2aoCt2es8vLoDFYyk</t>
  </si>
  <si>
    <t>mythxna3hpzXSbaseyR12vu5Vvym1HxS92eCgXLvY7w</t>
  </si>
  <si>
    <t>Love31pnbDJNVzZZVbtV4h2ftvTPVcBpXW11BSTCa6s</t>
  </si>
  <si>
    <t>Love31JHTTweTzCu3BjyjhXJadjRrd57hiNZn7M1fLj</t>
  </si>
  <si>
    <t>nateKhsYkrVc992UuTfAhEEFQqr2zQfpGg9RafNkxdC</t>
  </si>
  <si>
    <t>nateBZg7oHVPLB2samBLkKvfzedU3ALZBexMFPMKjn1</t>
  </si>
  <si>
    <t>parayLyZvwnGjDT2pGqrVn8UDxmNcdNQCE8uPRWMeRz</t>
  </si>
  <si>
    <t>ParaCzYN8KHz4B7xsSeEpmTyE5EBjpWifbpSfsDkiTq</t>
  </si>
  <si>
    <t>radM7PKUpZwJ9bYPAJ7V8FXHeUmH1zim6iaXUKkftP9</t>
  </si>
  <si>
    <t>radYEig9KGrMTMWbWRFV7LStotQbnLgPaEFHVDsudQz</t>
  </si>
  <si>
    <t>eyeYaqg9e2L6xw7YwsSLm27eWJfhLNAm6ETQm8TXNoK</t>
  </si>
  <si>
    <t>eyeVhGmVEoPSWmQU2wP5WZmMihPBTCk7kMMm4VhuAKS</t>
  </si>
  <si>
    <t>DEgenZMznWXvg5YHaZM75arVTauV453SeXX1UrxcGNup</t>
  </si>
  <si>
    <t>DEgenL35vQWg3pE8rvY2vJ2SrmpMsXMecu4PmvJcCCJv</t>
  </si>
  <si>
    <t>dmMwc4RazLHkvDZYrWAfbHQ6cViAvNa5szCJKaiun8S</t>
  </si>
  <si>
    <t>dedxrPfNqPKBRmUyP9LDkaitpQzU6PD44jA6GP9Ndhk</t>
  </si>
  <si>
    <t>TxtxXzLTDQ9W4ya3xgwyaqVa6Tky6Yqhi5BLpPCc9tZ</t>
  </si>
  <si>
    <t>TXTXAmsarrYrTobiCzq2r9NBqfChqRE8wEfJNsYZZ6F</t>
  </si>
  <si>
    <t>D8xKNftHzFcCekENuTEcFC1eoL9y8wNHEg4Q5z57KK4e</t>
  </si>
  <si>
    <t>4269foF8CYyT8SynFSYHiKFzHva5YL6PoAQj9pH3mQmh</t>
  </si>
  <si>
    <t>wetkjRRRDrSPAzHqfVHtFDbhNnejKm5UPfkHeccFCpo</t>
  </si>
  <si>
    <t>wetwJSUHT5afX3gP49q75gkz8FcCfvsw2kuSQ1UjT9R</t>
  </si>
  <si>
    <t>jntr1vkzvSujfckGR6ANmFmirVoPBMNr5XJGKP5uDQA</t>
  </si>
  <si>
    <t>jntrMCSkeNagaMM437fhZxLYbFJh6pvj68bQDZx2pXf</t>
  </si>
  <si>
    <t>UNrgBLmc8JT6A3dxXY9DWeHvDezt2DZQbhg1KPQfqEL</t>
  </si>
  <si>
    <t>unRgBLTLNXdBmenHXNPAg3AMn3KWcV3Mk4eoZBmTrdk</t>
  </si>
  <si>
    <t>CtzN7ysR5rX69qd168Aosbuc83mPozhi81bEHbG7ecNP</t>
  </si>
  <si>
    <t>CtzNnqzSLwNtkzi2yEWvq4w3GYQ5gSpCagqFZ5TbdSKb</t>
  </si>
  <si>
    <t>DCKyEmMENQMtLXgbmUoHRmgP9XdJ9HsR5WxrKnSDCzKA</t>
  </si>
  <si>
    <t>DCKYVqFDwUs5m2DhW9muK2EX86pootvWD8wXA4nSqDxU</t>
  </si>
  <si>
    <t>hxMhrsuGPDmkLJ4mTxEjyeMST3VGhTiwJvS9XgHwePj</t>
  </si>
  <si>
    <t>hxVjzDmta9TuN1gM981TRKnfwG2uZ9TQDGwSCs3uDow</t>
  </si>
  <si>
    <t>RoYLttggWwa2st3KAGEjnPhsq4NPD5QwaNVyyR8pTz4</t>
  </si>
  <si>
    <t>roYL9AoyuGae7uEAErzZhPSSxnLLZU4TNx8wmwCk77r</t>
  </si>
  <si>
    <t>sTEVErNNwF2qPnV6DuNPkWpEyCt4UU6k2Y3Hyn7WUFu</t>
  </si>
  <si>
    <t>STevE9xVb1QfBHU4GgEn28r9oikAf5yxKJddF7fufwb</t>
  </si>
  <si>
    <t>b1ueZK9bWTywN2587zsScyLTaH18wfRfN5W15XnkiqF</t>
  </si>
  <si>
    <t>b1uei1YN8YVb3qHy2JitBx4Fq9nAatLQFcNbnk6Ex8p</t>
  </si>
  <si>
    <t>rapXHroUoGG3KvZ3qwjvGMdA7siWXwXpiNC1bYarvSC</t>
  </si>
  <si>
    <t>rapxbkwBSSvtqRFrsY83f51oUuZNuVXci74MuzYhiCy</t>
  </si>
  <si>
    <t>ciTyjzN9iyobidMycjyqRRM7vXAHXkFzH3m8vEr6cQj</t>
  </si>
  <si>
    <t>CiTYUYPAPHdcri5yEfsmqVcs54J6j8X1QaiFLgYqMVe</t>
  </si>
  <si>
    <t>1i1yPyh843bTfi5qPgqozTbDcEX65rUNEFcUT2KAs2i</t>
  </si>
  <si>
    <t>1i1yax3thZfiV8id5HTA61bjsxEi4pbjmhXsqy6JePP</t>
  </si>
  <si>
    <t>hy1oMaD3ViyJ8i6w1xjP79zAWBBaRd1zWdTW8zYXnwu</t>
  </si>
  <si>
    <t>hy1oJTV2kX9acsqpwk7hbteqXFw9VDbWvbxoamFEufW</t>
  </si>
  <si>
    <t>axy3tCRL3wmFMVG4c69rYurcf4fXhBo2RcuBj9ADnJ4</t>
  </si>
  <si>
    <t>axyQeKp44XqUnvC1jVHoeuAJ3j8wVnGeWtddeAcNYcF</t>
  </si>
  <si>
    <t>BeRtYZnaaZLFwYQRPaZcxuuHBmyFBSGP32C8Ls5xnrZP</t>
  </si>
  <si>
    <t>BeRtYZ7SVQozwTby6ajQzrHtKYkn4qoKyRfb3NDAedtA</t>
  </si>
  <si>
    <t>MagiCBYNPD9iTBXqiFybAFCREQzG6MSM4LmFLXQZxuV</t>
  </si>
  <si>
    <t>magiCChVWbehZ1e3XqQfLh164yUfQ8LnRWgSP9i4oFp</t>
  </si>
  <si>
    <t>te1ee9rGf369wxYQkuxkvuvMuTJ9cksgZySmNUF8rNY</t>
  </si>
  <si>
    <t>te1exfYnykh2cFGCwGSLQu26Dpr8n2PozvBqH5Eoi3K</t>
  </si>
  <si>
    <t>YE11a5nVJtUNqsojkphYuWc7StqBzbCeFH6BjhAAUEV</t>
  </si>
  <si>
    <t>YE111yizdzBA7JQKMXjy9VSx1shKAczUbs3b3e6vKQH</t>
  </si>
  <si>
    <t>chdvWr6T14nqGRFD37KY36dsvhkCtDaufW5rpu3AfHe</t>
  </si>
  <si>
    <t>chdv8H9fPfk2zFqSVaxRjsEo2qEDmswbju3BVgAHPNb</t>
  </si>
  <si>
    <t>vnd1Ps8w3fsi54qUMJxBhUWARES34Qw7JQXDZxvbysd</t>
  </si>
  <si>
    <t>vnd1jskPHR2gfMtgTtq6xCwANrAiNbQTKgVBAJHnMke</t>
  </si>
  <si>
    <t>adre1Xia7ekGsEqNgHeFc7MYwkfzTQNeJgQmZ2agAKZ</t>
  </si>
  <si>
    <t>adrePWHJJQNNuMfK3QrBKXDZZuRFPRjhovMMeSr3Drz</t>
  </si>
  <si>
    <t>NATsUSZGohWw8xtLdxG4yus21UCkaes4FLfM2eqKbRk</t>
  </si>
  <si>
    <t>fuyugZxM5S4NyV3ZYoc6ebs3fmRTrZ3X27MKCFvHpVD</t>
  </si>
  <si>
    <t>Frdg1NUoQaaTmASWNTrtDrBU5PbTnWtUvtdCr1XPNn1c</t>
  </si>
  <si>
    <t>6MP6Bun9VmkGcRVU4iF14Q8P7jTkGtQW9zVwmB9kCYyK</t>
  </si>
  <si>
    <t>ExCHWgfeJyKRzpfryiQn4W6aYaWhbSAEnsoUnBGNqjWD</t>
  </si>
  <si>
    <t>ExCHgw3CfdZTbsrDA2phe95jswV2bDr5oSJwyKJKzEdN</t>
  </si>
  <si>
    <t>phz1CRbEsCtFCh2Ro5tjyu588VU1WPMwW9BJS9yFNn2</t>
  </si>
  <si>
    <t>phz34EcgWRCT9otPzRS2JtSzVHxQJk4SovqJvV1TQk8</t>
  </si>
  <si>
    <t>bkpk9KVsDRfrArzzmkJ9mPEvbXfQxczzQYR3QMGiR8Z</t>
  </si>
  <si>
    <t>bkpkQKgJMQXqwZL5dRX9LMwnsz9zkZZqCtqWfnBcwDx</t>
  </si>
  <si>
    <t>Not participant</t>
  </si>
  <si>
    <t>3V2xaccDpFib4DbTksdiveNDmiwpXBqSWyjSof3w1Bg7</t>
  </si>
  <si>
    <t>34yvUa2fxfm2tUqxFEj9PHrVNwCcdzd51eo9hntWpZRs</t>
  </si>
  <si>
    <t>CjmXSapt1ouz3CZzgkRJckBEwMSo5fVdVrizLeRscwYD</t>
  </si>
  <si>
    <t>B6nDYYLc2iwYqY3zdmavMmU9GjUL2hf79MkufviM2bXv</t>
  </si>
  <si>
    <t>BSMe78Jk1BfeJDdHQj1aXVjrT2aMAYidyNAGQsTshrk</t>
  </si>
  <si>
    <t>T6bpj6H6fr9GyKe73DcNjPbGeSk8twDsiNcU4srshrk</t>
  </si>
  <si>
    <t>Ettghfhr2kQerqAyGUuifFtBX17QecRe2gwpUZTAbZuw</t>
  </si>
  <si>
    <t>Ay5AcULBRJznGEEaGm2mWziRbefETRjdfZ1kwsoXS9u</t>
  </si>
  <si>
    <t>AqyRvpjjSN6jWYPxijoJwhmKwJFk6fRYDh9fQZHcJ2o7</t>
  </si>
  <si>
    <t>EeitHdhXPu3pYMb5oPHvLjkaKQMUPzdNnxvrXc3EEHxj</t>
  </si>
  <si>
    <t>CW9C7HBwAMgqNdXkNgFg9Ujr3edR2Ab9ymEuQnVacd1A</t>
  </si>
  <si>
    <t>6D2jqw9hyVCpppZexquxa74Fn33rJzzBx38T58VucHx9</t>
  </si>
  <si>
    <t>kREnNfJrPEHbrjSQDxmxZdGmN6hi7ewXZ3UZTURshrk</t>
  </si>
  <si>
    <t>FH5SX1WUubW9nD1rweZMofCHGhEp8qUMx3PksLfshrk</t>
  </si>
  <si>
    <t>5LNEDitSMhApT2uFnmtN7FmjCiGuatpnb2uU4f3shrk</t>
  </si>
  <si>
    <t>ksQuu3JAStVXUeDCHeW6QtVRHNMcdtgPyepUd3Yshrk</t>
  </si>
  <si>
    <t>12i8gndWWWMTRzJBFhnYkobNgZB3XMUUJq75HeUrshrk</t>
  </si>
  <si>
    <t>Cw2b2ng2fa78ndCXHcJMT1pqvdGxUHu5EBEB8KBshrk</t>
  </si>
  <si>
    <t>q1yPXLsYcJhzxhUYLewFDjYmsBh2gDFnYqrZ9VPshrk</t>
  </si>
  <si>
    <t>FRqYRkp3tUoBc62pnabeX8SVr6p3v6HM2tzT2NVshrk</t>
  </si>
  <si>
    <t>U82KEYMnuCiZSQbvuCJTZ652HX9NQ63uNSnxyucshrk</t>
  </si>
  <si>
    <t>c3wFuF1LCtsY5DGo7eBQCwLHhtZgAxNwNDrUCqashrk</t>
  </si>
  <si>
    <t>uxqVAFQfox97HazsPtkKiwhypQH6jEGXkQBHDtXshrk</t>
  </si>
  <si>
    <t>gGQb6ZcDG7fsVLWTvXZ1LLoY348tc1zcP2wkh8kshrk</t>
  </si>
  <si>
    <t>6XKqyUVUcpe3CNucjF6gk5zonJDqNGvob6kaTy4Ps1U</t>
  </si>
  <si>
    <t>SKRuTecmFDZHjs2DxRTJNEK7m7hunKGTWJiaZ3tMVVA</t>
  </si>
  <si>
    <t>13DmVBcyrSdsSsLWaKH9x1dwxDf48Wu5wprwxMmLshrk</t>
  </si>
  <si>
    <t>GLB3jUr5zuu79zFuEH3KP7boxtWsjHVyYRBK2SPshrk</t>
  </si>
  <si>
    <t>XAqHfPFsqTfAJHBRHAcEECkMSykXjkUj2Rta16Qshrk</t>
  </si>
  <si>
    <t>ySxF6XaSFSwU46iJbgyh2rAW5jagLbYULPtWvZCshrk</t>
  </si>
  <si>
    <t>EkvdKhULbMFqjKBKotAzGi3kwMvMpYNDKJXXQQmi6C1f</t>
  </si>
  <si>
    <t>3ZYJxzCeweSoh2Jj7oCgencFs9y27iKmXJeqYapje1cj</t>
  </si>
  <si>
    <t>BtsmiEEvnSuUnKxqXj2PZRYpPJAc7C34mGz8gtJ1DAaH</t>
  </si>
  <si>
    <t>G9x1mqewTeVnXLmv3FamYD5tq1AdS395RHH3MLQPj6TY</t>
  </si>
  <si>
    <t>44gvAugcHxhDhZupx6oP4vY7DhjqoonjX8YBBcigmvaG</t>
  </si>
  <si>
    <t>8YxrpeQUEhdgBzaGSaCQMwNQa7YYPQg8iV4ykeHVRrw8</t>
  </si>
  <si>
    <t>no</t>
  </si>
  <si>
    <t>4VmboVWgpQKM9hcULoYjNdhrDsy8JDD1S6uxuU37xEBE</t>
  </si>
  <si>
    <t>6wrzzX8hhhwY8NVtZWJqYJJfqnkDiFq6qTZEKLv3SjZk</t>
  </si>
  <si>
    <t>DLupiSkASr2wkSLazQodYL3M8v8zvtpoGrJ1nLc9bysK</t>
  </si>
  <si>
    <t>He4AUUbyUciqmWuAga11ucr2tM64GA3NqFXYEPmHPv6t</t>
  </si>
  <si>
    <t>7AGmaR23EUZFsxuyJ8VNUUPb7dzqY41uh9Tsjq7fQGVr</t>
  </si>
  <si>
    <t>FqavJAnX2ioPssR7NkZnSU65fVLCr3AgnghuBKfSnePE</t>
  </si>
  <si>
    <t>DqRT482tSPAyo9LAyXnqT1wgPFVwFTVFrT5oH1Wv2gyx</t>
  </si>
  <si>
    <t>9gY4S2LkL6QJwBU7hpDFEMKcvb7tvdqW29UfobazJG5i</t>
  </si>
  <si>
    <t>pitMDEaMmWmr7qP8HsNqarPQkd3jhZbLJibhhQnL5RG</t>
  </si>
  <si>
    <t>BLX5PkLh7GsHaqCpLDxiW3UjxfT2GMyteVAhRZBYhCts</t>
  </si>
  <si>
    <t>FEtkEYC16YG4ANgohvGUhobZMTSKmNKJc5h8QvpRazrA</t>
  </si>
  <si>
    <t>C6o1toH7rriz2DocmgTw6JzFbJdLpQ9w2QsjeKQQinfZ</t>
  </si>
  <si>
    <t>7TYbdqaFpHbLUWBe6fTc19XPweUMN6fB3GBW3TzZWu1i</t>
  </si>
  <si>
    <t>7YCDRyGNn8g3WgZg25JLB9wKuERMkj99AFc8zHAQVwSt</t>
  </si>
  <si>
    <t>7G4RfctwLLgqG4ZWfCirU8dfJd87mKQWgB4EHQRv8i7v</t>
  </si>
  <si>
    <t>42XzJdJvr1qE7zdEnPQhV5PsN9eyAcR45SWpTrifW1JB</t>
  </si>
  <si>
    <t>As9NxA9bCfhrVLAFyGeWG5X5iLYPGhU3R7nLfX3tN6am</t>
  </si>
  <si>
    <t>3R4effnUPr3sDo5wdegPBnqTmKTZhKkbgL1wxYw7w4B6</t>
  </si>
  <si>
    <t>CpdzCVzaR9gjFymmEVE8xHboJFHaDnimRZ448cMBs6Rn</t>
  </si>
  <si>
    <t>Fy6zNoZ1eCPpQX3JXeQ9Yd1HW1BFL8rrFmDvYYDnuxjT</t>
  </si>
  <si>
    <t>FzaAiLVXh6xXAFCfJNfBVQVYJ884zWz3LZVVmC8iRgdP</t>
  </si>
  <si>
    <t>AaxfteYTX2ftBRQfW1x6FiC8wY5dCJYgsPr8JwwMUuPZ</t>
  </si>
  <si>
    <t>5CfFhpErZrKcrDLQtB7R9V66cAvQkcc6NmMPeA12vDgS</t>
  </si>
  <si>
    <t>4mUZWLYoo16fe2S2xZ1DdXZHBxynRWBAf3prokBQsxac</t>
  </si>
  <si>
    <t>4nGV3oRHi9Fkk7HwakFS1ZjVq6U7M2v1p5xLrAbYLQtZ</t>
  </si>
  <si>
    <t>5okzFSJ474W7xZ75Xztdcvr4Kh61ZQzEW7eZisCdHxzc</t>
  </si>
  <si>
    <t>4rXCssbNbfGjPH727pBJXix3DPy47PN3ZVGMERdZQQ3D</t>
  </si>
  <si>
    <t>GbC2vzt6S2HsUAJ46Qfh3aoG6oB9y3V4T7XD7914K5na</t>
  </si>
  <si>
    <t>FSyAsxcE7g8pSSEu5nx7Hkz44rMZiYio5Wz8Lszh3Nbi</t>
  </si>
  <si>
    <t>QXmsTYFK7YT2BpP2AnvXwuRpfwmsJZpovLcUqdSjoK1</t>
  </si>
  <si>
    <t>CfXY2KyS6PvGW3oeSb7NCFZcswRZp2FAJY9E96hCvvVp</t>
  </si>
  <si>
    <t>8wEfU2LDRFTJf57fv1FutTkp8LEW7cR2m5L7ZNNXXMCT</t>
  </si>
  <si>
    <t>9HiuHYVDnoQz7xdL2NFmZdv6S2jYNUQxGg7taDwrZ3gy</t>
  </si>
  <si>
    <t>GwT72fNWtBrFa9GsBru2kPso1NEw3AnzrjPwprVAv32X</t>
  </si>
  <si>
    <t>HFTcVVrX93SJwYHAiiHAssb3c4zXqSsF4mNjg5arGPEj</t>
  </si>
  <si>
    <t>qjUuLxWo29QCBr7ZQw4EPLkAtmjHS2ZdZpZcH9g7fRb</t>
  </si>
  <si>
    <t>DZKTNGR3r4Akj3G42ReZatKhkmgEXoZjk5Ed2tFwRyqm</t>
  </si>
  <si>
    <t>AYSvheimgwhpRHXossLqrTBDPwo4jHDQJ1UhMeAArTwH</t>
  </si>
  <si>
    <t>EBoKqyT2kCabcHXgpF7ScwrHgGUsR821xkTJsHtP2JJi</t>
  </si>
  <si>
    <t>4DW4nrbGrjXRhhj3CH3AYgocExfqEoCCSMxZ9uzc3NpK</t>
  </si>
  <si>
    <t>96XWbKem84optM8RLHhc8EYJQG8CCWA8F6oqWMPHDweN</t>
  </si>
  <si>
    <t>3Qvmhayko5Yn3sSXDsHsMzS8QjdU4CshQF2y6L276kgi</t>
  </si>
  <si>
    <t>CwhdMezLucz7bcuWzStpLXgrzKGC2tBBiaVmJZjfprRN</t>
  </si>
  <si>
    <t>VNbW721iu6uVkrx246N2BiQth8u4b4SCPJwH3JvUovD</t>
  </si>
  <si>
    <t>STaKesuXJH6UGRizuEVSWG1tyLu5ycKgWj3i1HUdvs5</t>
  </si>
  <si>
    <t>2PEyBgsPYBQ8pMdXQtEaPGNqWQHE9GCnmV2tTVN4GMru</t>
  </si>
  <si>
    <t>Lua1fxRRHCnjVAYdfGyv2GbUsRHGM2DN2wgpWuF2WSb</t>
  </si>
  <si>
    <t>Lua298Woc4rgcswL64yfWAL4EW44FgBZeLsKforf6tJ</t>
  </si>
  <si>
    <t>etherUisfbmZze6spQmtv3MD2VUCEfqJV1xjVcN6nbc</t>
  </si>
  <si>
    <t>etherfVmEL2ymvdhjAm3FKGdrJECFaG3cZ3ktZvQ2yX</t>
  </si>
  <si>
    <t>9UM8wQ8F5oMiRcP5YdqD6Lr4krpBWCD8LtgQYoisJd9i</t>
  </si>
  <si>
    <t>9jToNMWCLW1GeoLGPZNvEfuXE4AUwiRsrC1HMGmh3PTu</t>
  </si>
  <si>
    <t>FNKgX9dYUhYQFRTM9bkeKoRpsyEtZGNMxbdQLDzfqB8a</t>
  </si>
  <si>
    <t>AaVsZUEnrHUZoXC2oVgTY3GF5GGhzCTBGrjpBtuUWy1H</t>
  </si>
  <si>
    <t>7Nn8qBJey7vXtVFMNBbbuN8UkujU8Y6nWzbHVGuf49yV</t>
  </si>
  <si>
    <t>6SF5cmEXFFEmnFd5BwM4J6NkZhh3WfPkgmqdoAGjLLPX</t>
  </si>
  <si>
    <t>KiNGTLWCgoqLKn266xxT2Zosko3FumNv7Z4V7V9cyKQ</t>
  </si>
  <si>
    <t>KiNGunz943rm3mJmnbELCTSh61EPqbNATFiP9XbFb9G</t>
  </si>
  <si>
    <t>TestnetOnboarded</t>
  </si>
  <si>
    <t>5ghoFEVrsXeAPB6SUmBpZ2xq3KvHEjNMeSaBnxEBXkHV</t>
  </si>
  <si>
    <t>J6KaKtLRj7eQGuVVL2CAz1AS9kDxsrmej9QbYkEtsiAD</t>
  </si>
  <si>
    <t>4W3jdXyqhLCjzA3Liu8ZNjViwrc6N9YjSB7obbxfjcKE</t>
  </si>
  <si>
    <t>3hhEWRNAVzqRjmF9hW5nYkrmDMxKKzGziE11Sg7yk3iX</t>
  </si>
  <si>
    <t>HMWXfjaeSHhww1wvdBhqhHVP9v96mFB4LJ9xP2MXbDGH</t>
  </si>
  <si>
    <t>FwLsjPJdnSiuCvs1NXyR1cV6Sw5GRE6Lj2s1gZ9NNTmv</t>
  </si>
  <si>
    <t>nymsHergYedT9CJMgtGMvqXUTGcbs5o3MiWTJUbqTGY</t>
  </si>
  <si>
    <t>nymsndUdAZyUPpWYz5VEg8Ghj9cFvwTRgciLogpmYaQ</t>
  </si>
  <si>
    <t>GoLd56YQz8nJQnCsPFw8g5hcxrNaQBvCfAgbtwYFLbd</t>
  </si>
  <si>
    <t>CaBaLhyhzBx3oiEUxUPvwmAG4bSYCM4Emb1NiWJJS5mr</t>
  </si>
  <si>
    <t>DZv25oNCWFvGXu9tH63BiAXvG94syweGZhbvdN3HxDxT</t>
  </si>
  <si>
    <t>DZVSbEJQfAFftodtveLseuzc1Beqm239usKJhx9TiBRL</t>
  </si>
  <si>
    <t>pSoLoZx55zZz61gjxSTwHtwTg4yTwdm7ruBmyjbYgT2</t>
  </si>
  <si>
    <t>BU5CXmHhXwZfSYwFjCjqAqdbu7MTUsiKLUj45RSXiPsE</t>
  </si>
  <si>
    <t>gangtCrQg5RmKf5yxvhvZThPugPX58pDSdQ5UuS26vN</t>
  </si>
  <si>
    <t>gangtRyGPTvYWb8K3xS2feJQaCks4iJ7rytFUPtVqSY</t>
  </si>
  <si>
    <t>DTSUkYHd2e9P2HLyZfbLarsbDdPhQUhZnWjRYuJZQRC8</t>
  </si>
  <si>
    <t>Haz7b47sZBpxh9SwggGndN3fAyNQ1S949BPdxWXS3ab6</t>
  </si>
  <si>
    <t>AvNsK6uxBBwejyPe7tZqgX4onaCnXTqKQvKRaTe9Ekya</t>
  </si>
  <si>
    <t>7rUTjy6KaEpZYCUx2xFP1W3s57kT4qGt6fN19osyLL31</t>
  </si>
  <si>
    <t>rubyWZkfnjG716rx69n2oCAhevVZaMRQunir9VQcY2E</t>
  </si>
  <si>
    <t>RuBYsjLeJYtWXbabcxPbNcbbFXQvMLrJGutpcqVRomz</t>
  </si>
  <si>
    <t>oPaLtitM6cwpFVzP2rDhLsJLdY2vcbuZiJJyD1TFUKs</t>
  </si>
  <si>
    <t>oPaLTmyvoUhW26QCMwLA5JNUeBYy72PDpFoXQF8SeX4</t>
  </si>
  <si>
    <t>CaveyttUBTKttncu1e4RF814XjuoGfYv8cEsiKGDNCPX</t>
  </si>
  <si>
    <t>CooLbbZy5Xmdt7DiHPQ3ss2uRXawnTXXVgpMS8E8jDzr</t>
  </si>
  <si>
    <t>mrgn4sJJu5GBa5wbKyjuASzhyCifvcedGoLtpKjB3Wf</t>
  </si>
  <si>
    <t>mrgn4t2JabSgvGnrCaHXMvz8ocr4F52scsxJnkQMQsQ</t>
  </si>
  <si>
    <t>mrgn28BhocwdAUEenen3Sw2MR9cPKDpLkDvzDdR7DBD</t>
  </si>
  <si>
    <t>mrgn2vsZ5EJ8YEfAMNPXmRux7th9cNfBasQ1JJvVwPn</t>
  </si>
  <si>
    <t>FugJZepeGfh1Ruunhep19JC4F3Hr2FL3oKUMezoK8ajp</t>
  </si>
  <si>
    <t>7emL18Bnve7wbYE9Az7vYJjikxN6YPU81igf6rVU5FN8</t>
  </si>
  <si>
    <t>aXiomFkk6VzXaBhPuhMqTLZZguCFzzbyP9LTtZ7ZHLQ</t>
  </si>
  <si>
    <t>DqbRPQXbN8GDKWZkKiHnRjiSKPqE3rQaNgTPxdLGPDMK</t>
  </si>
  <si>
    <t>9r2CsyjRTmTRtu8GFk5oJRSQr5YfSENxDkf3eox8iPLa</t>
  </si>
  <si>
    <t>2iWXwF2Q5W6o7yntV2mkbxncB4rYHnX61y3NU8a8EFMJ</t>
  </si>
  <si>
    <t>bonkcbAQvHpYWxEG63E8ufTB1cxkkk9eAKaPdGePE88</t>
  </si>
  <si>
    <t>bonkYyhB6oWHP6si4oTSXKnEQZTrrCyGZLMgt2VqgHP</t>
  </si>
  <si>
    <t>9maF99FLLAMh5v5JKG1ZyRZVBVsT5VkZnAJzDvduCpJa</t>
  </si>
  <si>
    <t>HvuXZAhAqSekCFueQ92DqxhuFvdBRrWeyA6uea6ZaS8q</t>
  </si>
  <si>
    <t>5S1vPAd2MRJ9WyLAK8mfLQ2Jz43oQHX5pFGVkAyaxLb7</t>
  </si>
  <si>
    <t>6rDXRJdNVxWVgtPtnsHV4hqonPPrumNaa3VUMPMRhMU8</t>
  </si>
  <si>
    <t>FmaVX7HuaaLRc3jy7HZktJX18hsk2S3MWdt6vYKiMweT</t>
  </si>
  <si>
    <t>6AvJhSqh2B4zUdBENZaepiLCh5hRGdkRovCg6CejavVn</t>
  </si>
  <si>
    <t>6jMprKjLwc2ezd6VLmkUvGUZExEpnsUsjtK9Yd9Jb4xW</t>
  </si>
  <si>
    <t>3B1ouVzqvFNG881agLD5DNe3AWrimCeN8nVPF8D6NqTn</t>
  </si>
  <si>
    <t>custm2hZdfZKpL5xGCUpShF23h7uXFVtL6fK7r5Ca7g</t>
  </si>
  <si>
    <t>5ni6KoVM62cRJNfFFKGdiyDfYbKWWAGZ21cfGZcj1y66</t>
  </si>
  <si>
    <t>MRGSoA53J7i4WidVHTxawPyKdr26LdVYCywnrUZ6auT</t>
  </si>
  <si>
    <t>CzmqDuqEpfnkptuLAcikmJrhCnhFXo8aUBj6Rto1SPAc</t>
  </si>
  <si>
    <t>odcvDWH5wHVKz9XtmGGxTj5ZsmawTjCCty3nyBKDGzS</t>
  </si>
  <si>
    <t>odc2aCE7yWTcV8ApP1cHmVqQZTkLNduqaYyKE1XhpE3</t>
  </si>
  <si>
    <t>4SgoyAwN26iu9Gpf12Bk1rnzp4G4yDUM3XVv4w7VQcAf</t>
  </si>
  <si>
    <t>sdo2QoiSsPknraeCts5GeBkV3AYDdtuxJ3VpYCS1CxR</t>
  </si>
  <si>
    <t>ELE1xBTfmHB7vuhSH94q23r6j3tuvTXYTqgm1u4uzMLk</t>
  </si>
  <si>
    <t>ELE2xaC6i6pmeu7bfrYjBv4whBeTAbgwcg5hf2ythiBs</t>
  </si>
  <si>
    <t>SoLiDJGk4WkdinyLiRWjkFbgLUhjL3idGJK8H1rUWqH</t>
  </si>
  <si>
    <t>SoLiDDVm88uWUMk2rQpG7B9wC55a6xveYEz3JnS6tzC</t>
  </si>
  <si>
    <t>stacheBmGG5zMKuetUevAbc4m4dLbve1VPcpSur3voH</t>
  </si>
  <si>
    <t>sTach38ebT8jnGH8i2D1g8NDAS6An19whVMnSSWPXt4</t>
  </si>
  <si>
    <t>hykfH9jUQqe2yqv3VqVAK5AmMYqrmMWmdwDcbfsm6My</t>
  </si>
  <si>
    <t>HAYEKSWg2EY21k38St9X5yM7QMW6SunKDefs5SqYSFty</t>
  </si>
  <si>
    <t>CRNyGD7xNPThLjNviGdxoAiHpQXZKx3UeyCfrxnmTi8r</t>
  </si>
  <si>
    <t>8nshUCt7FvxGRphfmiqAr9wdkRMrktfuS7YMhaaP3oUV</t>
  </si>
  <si>
    <t>65pHd5P2VrehonT1cdJ2JUnq5wi3WUgfL3A8RhYH7Kg7</t>
  </si>
  <si>
    <t>HjiwKP8UAYigpUJyKeBEWfKWvaRgKw9fZQRcSLzdhP2w</t>
  </si>
  <si>
    <t>XkCriyrNwS3G4rzAXtG5B1nnvb5Ka1JtCku93VqeKAr</t>
  </si>
  <si>
    <t>beefKGBWeSpHzYBHZXwp5So7wdQGX6mu4ZHCsH3uTar</t>
  </si>
  <si>
    <t>FBKFWadXZJahGtFitAsBvbqh5968gLY7dMBBJUoUjeNi</t>
  </si>
  <si>
    <t>AZoCYB4VgoM9DR9f1ZFcBn8xPSbtbqoxZnKJR7tkvEoX</t>
  </si>
  <si>
    <t>DTELykegBxxEn9c15GbH1zbYFr9CFd8VHQnhTGfz5JLb</t>
  </si>
  <si>
    <t>DTELA4aHtJB8zcMJvKgcUjAYfkGcKdRUN77cpFoMVgxz</t>
  </si>
  <si>
    <t>noMiSMNpN3iGeX3WdF5M2KQdFUQt2RYYpfJ4dN1Ni3k</t>
  </si>
  <si>
    <t>noMiSdYbNQmFDrH2qMvYRXXzb5DUvjyPyDkXadzAPUV</t>
  </si>
  <si>
    <t>EPFZFVrXuveEQar9LaEkt5kDRPMnbvK54qu5FwCxpkcy</t>
  </si>
  <si>
    <t>1oH9rfyrbKoP7ucJ1Zr2HLHmDU8N6G1G6dEuruFsSqy</t>
  </si>
  <si>
    <t>fotby1ABxpei2EVH9uXJ6KbHYgPjbg4Sny9eRzQjtRN</t>
  </si>
  <si>
    <t>4T799AaK9YT7zBtVqYZEnCY5ihUF5XaEYemwr5EnozoQ</t>
  </si>
  <si>
    <t>FttTBmXi5tmGJtiRcbVLwfMnY3ngrxw8DNSWRWMrr1WS</t>
  </si>
  <si>
    <t>6fCLXKxDSNMv5tXDdq3s6diaKVtP4pWLiLixVnDaWJvQ</t>
  </si>
  <si>
    <t>82vucuWCTTQEz6nYe3VetnL3pJYBrfDF2gDAjec9sPUy</t>
  </si>
  <si>
    <t>DLKjd8DJc9NajCaHPeQL6BnhPi3a4BZm7zCdVF3MzDRZ</t>
  </si>
  <si>
    <t>DNVZMSqeRH18Xa4MCTrb1MndNf3Npg4MEwqswo23eWkf</t>
  </si>
  <si>
    <t>9Diao4uo6NpeMud7t5wvGnJ3WxDM7iaYxkGtJM36T4dy</t>
  </si>
  <si>
    <t>FBbqKvwLfKGZrKrfSbPJz4ymQ7zMarhRyZtu1RBkSe89</t>
  </si>
  <si>
    <t>H43AYFsvhNuALQieHpLXefp1ECgEBT6oVnS4EcTsC25C</t>
  </si>
  <si>
    <t>AmjX7CerZbHrU814UeBp2gJC7gANNG3KrP4c3RyD7TSD</t>
  </si>
  <si>
    <t>FzUNgBRnVxawDytN9GM7BFwxFfekuMs7BcAGybn4AmMk</t>
  </si>
  <si>
    <t>8Nvaxzif1NrdvxNkRetjT8xJvd33EHkKVrfL8EDkgaNy</t>
  </si>
  <si>
    <t>2DNGsVZ9rg6RvT8bY4SGmGvyiVJ4xt9RL3NDd6uhfN46</t>
  </si>
  <si>
    <t>5ysfTZ42VT1TjnjzQShZSrix7wdVtjXwssocSeYKDs5d</t>
  </si>
  <si>
    <t>ExYX8UKQTCf2VPtV9jbfqikeTV6tPfhzauJ896o91wtj</t>
  </si>
  <si>
    <t>8T8AJfUCXwPFwEMmjca8gCRSktPrqbUBVa6ggNyhLhFJ</t>
  </si>
  <si>
    <t>DPsW8v7gkGUbPPRnraS5e163bDepd9tD537X9S231T2j</t>
  </si>
  <si>
    <t>8hAYbagNt7CMBooFfqVJhBgLqLffpjXTWJMk8yybjJsN</t>
  </si>
  <si>
    <t>74y2qkCaJ5L17hTsz3E8jftNxTBCTvdz4P2L6qTHDW59</t>
  </si>
  <si>
    <t>5HYjArGt81naevDdwMaEx8yeGNw9jYBSDJa8YavT9Mp4</t>
  </si>
  <si>
    <t>4ibf8qJirtoBGg7gSD7V7CeCKoFB96PBYQ3J5QjSmAob</t>
  </si>
  <si>
    <t>2N7v8pDKDYhtBUJBQUgxvysUjgM9s4ULPCmeEiPWTf6Z</t>
  </si>
  <si>
    <t>F3scMRjzSvXUa7JoK2uwBjNsYGi5sM84sDzE7FfGBo6o</t>
  </si>
  <si>
    <t>4k6wgP5WPBKQpsFGtzuXNrjcTE2fKWLj17nDvFeG5zSF</t>
  </si>
  <si>
    <t>8zuMRTXThoPTTPLLvaiKiJshLLCqGMt9BdRjjCL19xBc</t>
  </si>
  <si>
    <t>4uH4G6YiD5G8rU3mtPg73C2Uqamrqedy3FboTZcZrh6x</t>
  </si>
  <si>
    <t>EJHf5N9is5spAF5Kz384tTvTV3CwTka6qzUoZrYm53SV</t>
  </si>
  <si>
    <t>GWJyUxzcVwRRtpLuLiu1mpiUQsZ4onYFAYfCjQnuLmz5</t>
  </si>
  <si>
    <t>9KgZYnDzHhQANoJ43Z8czkgXYdTjtWLRrH9nDf42gqa</t>
  </si>
  <si>
    <t>CLsFr1KZVbAyz16iFpwg2e4hiekR1unpwyxfNdjBMaoE</t>
  </si>
  <si>
    <t>9bb63m29Xy1KiWqijLs3f8adTE4KcSmVkt1qPxGkbkna</t>
  </si>
  <si>
    <t>DeXsDvvZzKhVux4YfDFE6p4acJLGzr8yKt5pSTjzZB8t</t>
  </si>
  <si>
    <t>H6rbcwuQtadcv9JvxLM7GEskF6xFXnrNT3iPkk4RfyBE</t>
  </si>
  <si>
    <t>FGj2F187dqKfCQLfa4NvRPhiTeXwm8LZDCq4q4z5g6ai</t>
  </si>
  <si>
    <t>6AAeoHYMUQfSdFGqubUmWVAasFkzJEq47oKpHNNTZxLN</t>
  </si>
  <si>
    <t>5aD6KB8g4MPt3xJafmMmun86hHMDnoFiGbd5gYiMFZw7</t>
  </si>
  <si>
    <t>QWmexgr4teHa2ZF85tyf2hvEwBvJ6ioAEr1h8DRjoie</t>
  </si>
  <si>
    <t>PAWsME7oYbjt5TRNc11mBa33JhKnQr9AYherdr9YAZ6</t>
  </si>
  <si>
    <t>3ZUQekqiZoybB57y49eqtvSaoonqDwuNbeqEGwN88JkQ</t>
  </si>
  <si>
    <t>GiYSnFRrXrmkJMC54A1j3K4xT6ZMfx1NSThEe5X2WpDe</t>
  </si>
  <si>
    <t>DfpdmTsSCBPxCDwZwgBMfjjV8mF8xHkGRcXP8dJBVmrq</t>
  </si>
  <si>
    <t>5zm9g3zgAPWzX3wmUB2JtTkcwCqe74NWsTmt5wLFwCKK</t>
  </si>
  <si>
    <t>4udPrmxccbP1NwDJ6vChFKs5qcqyjmQff6gsKXD1mdaj</t>
  </si>
  <si>
    <t>MBVyz9s72WSfUmbr1S8fgHjDJQkPs1Q4Wxi6A2Mees9</t>
  </si>
  <si>
    <t>3vwstewNgWAwN2uyuJduoZVVhmiwvAbwCxrjeJG6bASy</t>
  </si>
  <si>
    <t>ES1M3tMZ4rMTJ3apE75cHfeGWizDTrMMXy2zKtWkd38R</t>
  </si>
  <si>
    <t>4RcSXeQbgG1v27M27PNNLhy9PGB6uaJACXUZ3kBVc4kF</t>
  </si>
  <si>
    <t>nSGZ3tv2UhskkPqiB666yDVj7PTi9qKgDqvjHyw5JgM</t>
  </si>
  <si>
    <t>AY271jdvcyo5VzBiWsMGLEjpZFFrarq8FDydJHLmYgCG</t>
  </si>
  <si>
    <t>Tag</t>
  </si>
  <si>
    <t>Total Stake</t>
  </si>
  <si>
    <t>Validator count</t>
  </si>
  <si>
    <t>SFDP Approved validators</t>
  </si>
  <si>
    <t>JITO Pool Stake</t>
  </si>
  <si>
    <t>Surfpool</t>
  </si>
  <si>
    <t>Coinbase04</t>
  </si>
  <si>
    <t>Sarmina</t>
  </si>
  <si>
    <t>Honeybee</t>
  </si>
  <si>
    <t>SolanaMobile</t>
  </si>
  <si>
    <t>Coinbase02</t>
  </si>
  <si>
    <t>Backpack</t>
  </si>
  <si>
    <t>FiredancerDevelopment</t>
  </si>
  <si>
    <t>Nomis</t>
  </si>
  <si>
    <t>Coinbase</t>
  </si>
  <si>
    <t>Hivefi.xyz</t>
  </si>
  <si>
    <t>SkipLine</t>
  </si>
  <si>
    <t>livechanger</t>
  </si>
  <si>
    <t>Akkuria</t>
  </si>
  <si>
    <t>CaveyCool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</si>
</sst>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D28B1A-E2A4-42EE-8DC1-5A211B02401E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6" xr16:uid="{D3F6516A-B9C7-443A-9C6A-A6A10811BDFD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5" xr16:uid="{8536F793-B3AD-4CFE-BC7B-16B4021ABF6B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EC68FB31-FECE-4146-8E02-DDB22439069D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7" xr16:uid="{251B2555-05D3-4FBD-8A4B-17321A28FDE4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" xr16:uid="{33DB58B5-A65F-4CBB-865A-166023AE057D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" xr16:uid="{572EDA7B-8DEB-405C-8913-9197DE3E9104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D382808F-F15C-40B4-8413-27641DFEA66A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C5CD9CF1-DDBA-4517-8D39-4BCA2BE3875C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3" xr16:uid="{BCADF17E-AE49-406B-A06C-751687396206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BE5A1120-075D-4CAA-A6C3-1761CCFA8B41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AC777C69-3C68-4146-8F80-9461B4E5DAFF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9D02669E-8442-4E09-9184-CF7B570115D7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48B14874-A764-4F8C-9791-5B7D9B5652D8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081F6F6-C5E8-4B7A-878C-C5B926A9886E}" autoFormatId="16" applyNumberFormats="0" applyBorderFormats="0" applyFontFormats="0" applyPatternFormats="0" applyAlignmentFormats="0" applyWidthHeightFormats="0">
  <queryTableRefresh nextId="7">
    <queryTableFields count="6">
      <queryTableField id="1" name="Identity" tableColumnId="1"/>
      <queryTableField id="2" name="Vote" tableColumnId="2"/>
      <queryTableField id="3" name="Stake (SOL)" tableColumnId="3"/>
      <queryTableField id="4" name="Jito Pool" tableColumnId="4"/>
      <queryTableField id="5" name="Jito Stake (SOL)" tableColumnId="5"/>
      <queryTableField id="6" name="SFDP Status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B0B171A-AF62-4AB3-95C1-76E94EA57457}" name="Table16" displayName="Table16" ref="A1:E16" totalsRowShown="0">
  <autoFilter ref="A1:E16" xr:uid="{0B0B171A-AF62-4AB3-95C1-76E94EA57457}"/>
  <sortState xmlns:xlrd2="http://schemas.microsoft.com/office/spreadsheetml/2017/richdata2" ref="A2:E16">
    <sortCondition descending="1" ref="B1:B16"/>
  </sortState>
  <tableColumns count="5">
    <tableColumn id="1" xr3:uid="{422A2270-20C1-4570-851D-65FD95F123E3}" name="Tag"/>
    <tableColumn id="2" xr3:uid="{33FE55A7-AE32-434D-8737-E5178AD35E42}" name="Total Stake" dataCellStyle="Comma">
      <calculatedColumnFormula>SUM(INDIRECT(A2&amp;"[Stake (SOL)]"))</calculatedColumnFormula>
    </tableColumn>
    <tableColumn id="3" xr3:uid="{F1843721-4ADD-421B-AAC7-9847A69E0EA3}" name="Validator count">
      <calculatedColumnFormula>COUNT(INDIRECT(A2&amp;"[Stake (SOL)]"))</calculatedColumnFormula>
    </tableColumn>
    <tableColumn id="4" xr3:uid="{23062C6C-720E-42BF-A2D8-B6885459ADD7}" name="SFDP Approved validators">
      <calculatedColumnFormula>COUNTIF(INDIRECT(A2&amp;"[SFDP Status]"), "Approved")</calculatedColumnFormula>
    </tableColumn>
    <tableColumn id="5" xr3:uid="{F3765CE5-DC81-42AD-BB70-54A3AEF09230}" name="JITO Pool Stake" dataCellStyle="Comma">
      <calculatedColumnFormula>SUM(INDIRECT(A2&amp;"[Jito Stake (SOL)]"))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18F29-5837-4F54-9A56-64BCA5AE81D7}" name="Surfpool" displayName="Surfpool" ref="A1:F41" tableType="queryTable" totalsRowShown="0">
  <autoFilter ref="A1:F41" xr:uid="{3FE18F29-5837-4F54-9A56-64BCA5AE81D7}"/>
  <tableColumns count="6">
    <tableColumn id="1" xr3:uid="{296D419D-87B2-45CA-BB49-B0005559F029}" uniqueName="1" name="Identity" queryTableFieldId="1" dataDxfId="55"/>
    <tableColumn id="2" xr3:uid="{8C2AA04B-3C50-4047-A545-64CCA5F9B65B}" uniqueName="2" name="Vote" queryTableFieldId="2" dataDxfId="54"/>
    <tableColumn id="3" xr3:uid="{E3630B9F-EB89-4755-8E10-F65204201941}" uniqueName="3" name="Stake (SOL)" queryTableFieldId="3"/>
    <tableColumn id="4" xr3:uid="{5C3F803F-2A9B-4B9C-84F9-9EEB8FEB6960}" uniqueName="4" name="Jito Pool" queryTableFieldId="4" dataDxfId="53"/>
    <tableColumn id="5" xr3:uid="{6715B519-9D2C-4F4B-9A62-80A4BF45616E}" uniqueName="5" name="Jito Stake (SOL)" queryTableFieldId="5"/>
    <tableColumn id="6" xr3:uid="{33F0B0FF-EDF1-4DAB-8426-356A7FDC93AF}" uniqueName="6" name="SFDP Status" queryTableFieldId="6" dataDxfId="5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AA3CE5-81DA-4AD3-ABC9-FA57AD705576}" name="coinbase04" displayName="coinbase04" ref="A1:F5" tableType="queryTable" totalsRowShown="0">
  <autoFilter ref="A1:F5" xr:uid="{D1AA3CE5-81DA-4AD3-ABC9-FA57AD705576}"/>
  <tableColumns count="6">
    <tableColumn id="1" xr3:uid="{212BC326-7054-45B6-8156-9618F4112298}" uniqueName="1" name="Identity" queryTableFieldId="1" dataDxfId="59"/>
    <tableColumn id="2" xr3:uid="{B6CA8E54-1C70-4766-AF3E-FD7471D084FD}" uniqueName="2" name="Vote" queryTableFieldId="2" dataDxfId="58"/>
    <tableColumn id="3" xr3:uid="{709087C8-B32B-4AE2-9D8F-416E35F490B2}" uniqueName="3" name="Stake (SOL)" queryTableFieldId="3"/>
    <tableColumn id="4" xr3:uid="{AFCA0F03-4C41-4C93-9EF5-D3B91C5B2532}" uniqueName="4" name="Jito Pool" queryTableFieldId="4" dataDxfId="57"/>
    <tableColumn id="5" xr3:uid="{4088A74C-2A2D-4BBA-B5C2-08287F156F10}" uniqueName="5" name="Jito Stake (SOL)" queryTableFieldId="5"/>
    <tableColumn id="6" xr3:uid="{DBD86A36-2D4D-4220-B68E-366572CAE1E8}" uniqueName="6" name="SFDP Status" queryTableFieldId="6" data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12D6EA-2DD4-4A2B-B7B8-217A4A30F9A8}" name="Sarmina" displayName="Sarmina" ref="A1:F5" tableType="queryTable" totalsRowShown="0">
  <autoFilter ref="A1:F5" xr:uid="{F812D6EA-2DD4-4A2B-B7B8-217A4A30F9A8}"/>
  <tableColumns count="6">
    <tableColumn id="1" xr3:uid="{D3370B74-A14E-40DF-8E18-9E32572686B2}" uniqueName="1" name="Identity" queryTableFieldId="1" dataDxfId="51"/>
    <tableColumn id="2" xr3:uid="{C45D468F-0AB8-423A-A527-A87D08B1C2C5}" uniqueName="2" name="Vote" queryTableFieldId="2" dataDxfId="50"/>
    <tableColumn id="3" xr3:uid="{EA4EF2BE-5CEE-448F-994E-F89F51D479DB}" uniqueName="3" name="Stake (SOL)" queryTableFieldId="3"/>
    <tableColumn id="4" xr3:uid="{3B87330A-CDA6-46D7-8991-0138D775A2E2}" uniqueName="4" name="Jito Pool" queryTableFieldId="4" dataDxfId="49"/>
    <tableColumn id="5" xr3:uid="{052FE786-9C04-40BC-A832-A892F53A3469}" uniqueName="5" name="Jito Stake (SOL)" queryTableFieldId="5"/>
    <tableColumn id="6" xr3:uid="{9DA15344-ECD7-47DB-835F-DA248857C7C0}" uniqueName="6" name="SFDP Status" queryTableFieldId="6" dataDxfId="4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2E4DC8-636A-4AAE-9CF9-FC07229E127C}" name="Honeybee" displayName="Honeybee" ref="A1:F20" tableType="queryTable" totalsRowShown="0">
  <autoFilter ref="A1:F20" xr:uid="{642E4DC8-636A-4AAE-9CF9-FC07229E127C}"/>
  <sortState xmlns:xlrd2="http://schemas.microsoft.com/office/spreadsheetml/2017/richdata2" ref="A2:F20">
    <sortCondition descending="1" ref="C1:C20"/>
  </sortState>
  <tableColumns count="6">
    <tableColumn id="1" xr3:uid="{B49C25CB-B081-494D-9F0E-8194C206C8E8}" uniqueName="1" name="Identity" queryTableFieldId="1" dataDxfId="47"/>
    <tableColumn id="2" xr3:uid="{CA557273-796C-4C35-85A7-78B7236F3574}" uniqueName="2" name="Vote" queryTableFieldId="2" dataDxfId="46"/>
    <tableColumn id="3" xr3:uid="{76A8B31C-8830-450A-A2FD-DA03115AD27B}" uniqueName="3" name="Stake (SOL)" queryTableFieldId="3"/>
    <tableColumn id="4" xr3:uid="{05A1F651-F113-41C3-BCB6-883C6A34F765}" uniqueName="4" name="Jito Pool" queryTableFieldId="4" dataDxfId="45"/>
    <tableColumn id="5" xr3:uid="{C6C24C08-EF0E-473C-9C4E-9B0108DF3160}" uniqueName="5" name="Jito Stake (SOL)" queryTableFieldId="5"/>
    <tableColumn id="6" xr3:uid="{1D58BC4A-BDBC-4995-B47E-B95794E48CE8}" uniqueName="6" name="SFDP Status" queryTableFieldId="6" dataDxfId="4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C06E786-3633-4685-B69E-48D05EA5BBC5}" name="SolanaMobile" displayName="SolanaMobile" ref="A1:F12" tableType="queryTable" totalsRowShown="0">
  <autoFilter ref="A1:F12" xr:uid="{CC06E786-3633-4685-B69E-48D05EA5BBC5}"/>
  <sortState xmlns:xlrd2="http://schemas.microsoft.com/office/spreadsheetml/2017/richdata2" ref="A2:F12">
    <sortCondition descending="1" ref="C1:C12"/>
  </sortState>
  <tableColumns count="6">
    <tableColumn id="1" xr3:uid="{2E265D69-27BB-47E8-B38C-46FBBC21EEC8}" uniqueName="1" name="Identity" queryTableFieldId="1" dataDxfId="43"/>
    <tableColumn id="2" xr3:uid="{7E1768D1-344C-4E3F-BA52-C621753784D1}" uniqueName="2" name="Vote" queryTableFieldId="2" dataDxfId="42"/>
    <tableColumn id="3" xr3:uid="{829B17A3-0B8D-4C5A-AFDC-405220B51D6F}" uniqueName="3" name="Stake (SOL)" queryTableFieldId="3"/>
    <tableColumn id="4" xr3:uid="{8D28C2F2-0A8E-4BA6-9227-9EE5D737F22B}" uniqueName="4" name="Jito Pool" queryTableFieldId="4" dataDxfId="41"/>
    <tableColumn id="5" xr3:uid="{123AAEE4-6491-4010-A370-C5C95EBEBBFB}" uniqueName="5" name="Jito Stake (SOL)" queryTableFieldId="5"/>
    <tableColumn id="6" xr3:uid="{C1D5A888-23EE-4B28-9B06-FE6CE1A2B6DF}" uniqueName="6" name="SFDP Status" queryTableFieldId="6" dataDxfId="4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FC494D-6BD2-410C-9D65-3BB63704D915}" name="Coinbase02" displayName="Coinbase02" ref="A1:F6" tableType="queryTable" totalsRowShown="0">
  <autoFilter ref="A1:F6" xr:uid="{37FC494D-6BD2-410C-9D65-3BB63704D915}"/>
  <sortState xmlns:xlrd2="http://schemas.microsoft.com/office/spreadsheetml/2017/richdata2" ref="A2:F6">
    <sortCondition descending="1" ref="C1:C6"/>
  </sortState>
  <tableColumns count="6">
    <tableColumn id="1" xr3:uid="{F841962D-F19D-4EAE-817C-165F578A8E61}" uniqueName="1" name="Identity" queryTableFieldId="1" dataDxfId="39"/>
    <tableColumn id="2" xr3:uid="{7C220A51-F93F-46B2-BC61-F34744F524E8}" uniqueName="2" name="Vote" queryTableFieldId="2" dataDxfId="38"/>
    <tableColumn id="3" xr3:uid="{32CAD1BB-28D7-4F38-8F59-EA58A20679EB}" uniqueName="3" name="Stake (SOL)" queryTableFieldId="3"/>
    <tableColumn id="4" xr3:uid="{799BCF41-CA48-4D57-A336-6E024FADC1B5}" uniqueName="4" name="Jito Pool" queryTableFieldId="4" dataDxfId="37"/>
    <tableColumn id="5" xr3:uid="{91EB4EE4-3E8B-4CBB-9C93-9C7448176250}" uniqueName="5" name="Jito Stake (SOL)" queryTableFieldId="5"/>
    <tableColumn id="6" xr3:uid="{2998BAC2-5D08-43D6-868E-94624569F803}" uniqueName="6" name="SFDP Status" queryTableFieldId="6" dataDxfId="3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F326E4-3F40-4331-9296-A66663AE53F0}" name="Backpack" displayName="Backpack" ref="A1:F4" tableType="queryTable" totalsRowShown="0">
  <autoFilter ref="A1:F4" xr:uid="{82F326E4-3F40-4331-9296-A66663AE53F0}"/>
  <tableColumns count="6">
    <tableColumn id="1" xr3:uid="{376C6E31-FE39-4016-97E2-557D311D4BE2}" uniqueName="1" name="Identity" queryTableFieldId="1" dataDxfId="35"/>
    <tableColumn id="2" xr3:uid="{C72ED701-BEC5-40D0-91CA-950467F3078C}" uniqueName="2" name="Vote" queryTableFieldId="2" dataDxfId="34"/>
    <tableColumn id="3" xr3:uid="{BAFB9122-E6AA-4FB6-9AFD-A1F4C811E1F9}" uniqueName="3" name="Stake (SOL)" queryTableFieldId="3"/>
    <tableColumn id="4" xr3:uid="{C6EA1638-3E60-4815-9CC6-D15964985F8D}" uniqueName="4" name="Jito Pool" queryTableFieldId="4" dataDxfId="33"/>
    <tableColumn id="5" xr3:uid="{A77EA184-BB16-45BD-BF69-DB3C20B9C966}" uniqueName="5" name="Jito Stake (SOL)" queryTableFieldId="5"/>
    <tableColumn id="6" xr3:uid="{5CA9FB77-FE22-4664-8402-B7D2A90355FD}" uniqueName="6" name="SFDP Status" queryTableFieldId="6" dataDxfId="3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7633D-D0A7-4AAF-88DE-18024217F80E}" name="FiredancerDevelopment" displayName="FiredancerDevelopment" ref="A1:F6" tableType="queryTable" totalsRowShown="0">
  <autoFilter ref="A1:F6" xr:uid="{3537633D-D0A7-4AAF-88DE-18024217F80E}"/>
  <tableColumns count="6">
    <tableColumn id="1" xr3:uid="{5C4B6611-8387-410D-8572-257CFA3B81D6}" uniqueName="1" name="Identity" queryTableFieldId="1" dataDxfId="31"/>
    <tableColumn id="2" xr3:uid="{3AA6027B-C82F-4DC1-96EE-F25E6C06322E}" uniqueName="2" name="Vote" queryTableFieldId="2" dataDxfId="30"/>
    <tableColumn id="3" xr3:uid="{AED65E91-A0A6-4B6F-A9FD-FB8A4F4D2329}" uniqueName="3" name="Stake (SOL)" queryTableFieldId="3"/>
    <tableColumn id="4" xr3:uid="{58E4BAB2-CB6A-45B3-8742-D74526BBCC44}" uniqueName="4" name="Jito Pool" queryTableFieldId="4" dataDxfId="29"/>
    <tableColumn id="5" xr3:uid="{5AF75D80-38CC-4CE7-AB8F-F385D2D45A0E}" uniqueName="5" name="Jito Stake (SOL)" queryTableFieldId="5"/>
    <tableColumn id="6" xr3:uid="{CC31EF48-404E-4737-82E2-9B45039073E9}" uniqueName="6" name="SFDP Status" queryTableFieldId="6" dataDxfId="2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1D3FB3-1BE6-4BBF-BDB8-E91FB499C263}" name="Nomis" displayName="Nomis" ref="A1:F4" tableType="queryTable" totalsRowShown="0">
  <autoFilter ref="A1:F4" xr:uid="{B51D3FB3-1BE6-4BBF-BDB8-E91FB499C263}"/>
  <tableColumns count="6">
    <tableColumn id="1" xr3:uid="{A2413345-7399-43CC-A0E2-50E723564526}" uniqueName="1" name="Identity" queryTableFieldId="1" dataDxfId="27"/>
    <tableColumn id="2" xr3:uid="{3447C614-2D87-4815-92ED-6F0618E0A132}" uniqueName="2" name="Vote" queryTableFieldId="2" dataDxfId="26"/>
    <tableColumn id="3" xr3:uid="{38BD47BC-35A8-4858-895D-8F8739F49103}" uniqueName="3" name="Stake (SOL)" queryTableFieldId="3"/>
    <tableColumn id="4" xr3:uid="{B7777A7C-6552-47BB-B43E-2F00094CF24E}" uniqueName="4" name="Jito Pool" queryTableFieldId="4" dataDxfId="25"/>
    <tableColumn id="5" xr3:uid="{0836450F-A2C9-4264-9A7C-ADC9AA44BE20}" uniqueName="5" name="Jito Stake (SOL)" queryTableFieldId="5"/>
    <tableColumn id="6" xr3:uid="{DA281E4D-15FC-4F51-A6BC-1887C2ABB964}" uniqueName="6" name="SFDP Status" queryTableFieldId="6" dataDxfId="2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E0AEA3-B958-4687-9F63-EF6C42FF173D}" name="Coinbase" displayName="Coinbase" ref="A1:F5" tableType="queryTable" totalsRowShown="0">
  <autoFilter ref="A1:F5" xr:uid="{BCE0AEA3-B958-4687-9F63-EF6C42FF173D}"/>
  <tableColumns count="6">
    <tableColumn id="1" xr3:uid="{B834BE92-FF6D-4674-8F58-34A4A55435C4}" uniqueName="1" name="Identity" queryTableFieldId="1" dataDxfId="23"/>
    <tableColumn id="2" xr3:uid="{C6A16F2E-2E37-4D28-8A4B-12E8D6F4AC5E}" uniqueName="2" name="Vote" queryTableFieldId="2" dataDxfId="22"/>
    <tableColumn id="3" xr3:uid="{5AB89916-914B-4085-9453-206AB9638057}" uniqueName="3" name="Stake (SOL)" queryTableFieldId="3"/>
    <tableColumn id="4" xr3:uid="{A1310D54-5B51-494C-B7B6-D3D567FF158A}" uniqueName="4" name="Jito Pool" queryTableFieldId="4" dataDxfId="21"/>
    <tableColumn id="5" xr3:uid="{8ADDFF8C-C077-4BC9-8121-188057B4B1A4}" uniqueName="5" name="Jito Stake (SOL)" queryTableFieldId="5"/>
    <tableColumn id="6" xr3:uid="{05522C75-0AA5-4B81-9F11-48CCD5CE6F07}" uniqueName="6" name="SFDP Status" queryTableFieldId="6" dataDxfId="2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C0AC6E-E606-46BC-98D1-B710B93C4CA9}" name="Hivefi.xyz" displayName="Hivefi.xyz" ref="A1:F22" tableType="queryTable" totalsRowShown="0">
  <autoFilter ref="A1:F22" xr:uid="{38C0AC6E-E606-46BC-98D1-B710B93C4CA9}"/>
  <sortState xmlns:xlrd2="http://schemas.microsoft.com/office/spreadsheetml/2017/richdata2" ref="A2:F22">
    <sortCondition descending="1" ref="C1:C22"/>
  </sortState>
  <tableColumns count="6">
    <tableColumn id="1" xr3:uid="{188A7DEB-1DD5-4218-A326-B278DA3DEEAC}" uniqueName="1" name="Identity" queryTableFieldId="1" dataDxfId="19"/>
    <tableColumn id="2" xr3:uid="{C7F91991-E5D5-42DD-AAC4-490E7EFF0CDF}" uniqueName="2" name="Vote" queryTableFieldId="2" dataDxfId="18"/>
    <tableColumn id="3" xr3:uid="{9019310A-C968-457A-A4EE-9BC4DC9DF45A}" uniqueName="3" name="Stake (SOL)" queryTableFieldId="3"/>
    <tableColumn id="4" xr3:uid="{613F3784-5063-4287-9BCA-6EF6964EC141}" uniqueName="4" name="Jito Pool" queryTableFieldId="4" dataDxfId="17"/>
    <tableColumn id="5" xr3:uid="{32307F63-D095-4563-8E6C-572A3669BBE1}" uniqueName="5" name="Jito Stake (SOL)" queryTableFieldId="5"/>
    <tableColumn id="6" xr3:uid="{B97CC619-72F9-4BAA-BF21-24D54B7CF2BD}" uniqueName="6" name="SFDP Status" queryTableFieldId="6" dataDxfId="1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C22CEB-ACBB-402F-A03C-13D8EBA10382}" name="SkipLine" displayName="SkipLine" ref="A1:F7" tableType="queryTable" totalsRowShown="0">
  <autoFilter ref="A1:F7" xr:uid="{B1C22CEB-ACBB-402F-A03C-13D8EBA10382}"/>
  <sortState xmlns:xlrd2="http://schemas.microsoft.com/office/spreadsheetml/2017/richdata2" ref="A2:F7">
    <sortCondition descending="1" ref="C1:C7"/>
  </sortState>
  <tableColumns count="6">
    <tableColumn id="1" xr3:uid="{C9604621-E6ED-493F-877D-426C660669FB}" uniqueName="1" name="Identity" queryTableFieldId="1" dataDxfId="15"/>
    <tableColumn id="2" xr3:uid="{1473A5BA-1676-454F-B215-A36D15BEB784}" uniqueName="2" name="Vote" queryTableFieldId="2" dataDxfId="14"/>
    <tableColumn id="3" xr3:uid="{AF6AD0BB-B912-4875-B4A8-5573090A95FE}" uniqueName="3" name="Stake (SOL)" queryTableFieldId="3"/>
    <tableColumn id="4" xr3:uid="{60933E40-3BCD-4B7B-BB36-820B78683C5A}" uniqueName="4" name="Jito Pool" queryTableFieldId="4" dataDxfId="13"/>
    <tableColumn id="5" xr3:uid="{AB6B3B15-914A-4CCF-8F92-A83C2FB1B0C0}" uniqueName="5" name="Jito Stake (SOL)" queryTableFieldId="5"/>
    <tableColumn id="6" xr3:uid="{D16BA93D-7507-4D6B-9516-1F14CB6021A0}" uniqueName="6" name="SFDP Status" queryTableFieldId="6" dataDxfId="1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A1A4BE-0A3A-4D34-AA59-0052B159E14B}" name="livechanger" displayName="livechanger" ref="A1:F6" tableType="queryTable" totalsRowShown="0">
  <autoFilter ref="A1:F6" xr:uid="{9DA1A4BE-0A3A-4D34-AA59-0052B159E14B}"/>
  <sortState xmlns:xlrd2="http://schemas.microsoft.com/office/spreadsheetml/2017/richdata2" ref="A2:F6">
    <sortCondition descending="1" ref="C1:C6"/>
  </sortState>
  <tableColumns count="6">
    <tableColumn id="1" xr3:uid="{2757AD6A-3818-413D-9151-DBAF76F8CB6A}" uniqueName="1" name="Identity" queryTableFieldId="1" dataDxfId="11"/>
    <tableColumn id="2" xr3:uid="{92ABE0AD-A36B-4603-92B3-7FC81A7DA0E6}" uniqueName="2" name="Vote" queryTableFieldId="2" dataDxfId="10"/>
    <tableColumn id="3" xr3:uid="{D77DD3A6-8884-4974-8B4B-1D2145D061C0}" uniqueName="3" name="Stake (SOL)" queryTableFieldId="3"/>
    <tableColumn id="4" xr3:uid="{DA86764E-4EE1-47B9-9A3B-3A0D60297276}" uniqueName="4" name="Jito Pool" queryTableFieldId="4" dataDxfId="9"/>
    <tableColumn id="5" xr3:uid="{26AC7D13-4FE1-4089-92C0-B0F627C8E157}" uniqueName="5" name="Jito Stake (SOL)" queryTableFieldId="5"/>
    <tableColumn id="6" xr3:uid="{39D7510C-5590-4630-BB2E-84B3B7C787BA}" uniqueName="6" name="SFDP Status" queryTableFieldId="6" dataDxfId="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227CC2-EFD1-4B24-A19F-1568C72B33F4}" name="Akkuria" displayName="Akkuria" ref="A1:F6" tableType="queryTable" totalsRowShown="0">
  <autoFilter ref="A1:F6" xr:uid="{37227CC2-EFD1-4B24-A19F-1568C72B33F4}"/>
  <sortState xmlns:xlrd2="http://schemas.microsoft.com/office/spreadsheetml/2017/richdata2" ref="A2:F6">
    <sortCondition descending="1" ref="C1:C6"/>
  </sortState>
  <tableColumns count="6">
    <tableColumn id="1" xr3:uid="{AA3C7FC1-28E7-497A-AEAB-C76CDE9D612D}" uniqueName="1" name="Identity" queryTableFieldId="1" dataDxfId="7"/>
    <tableColumn id="2" xr3:uid="{BE55B21E-4577-4596-B4A0-6E5171A77BDF}" uniqueName="2" name="Vote" queryTableFieldId="2" dataDxfId="6"/>
    <tableColumn id="3" xr3:uid="{FA1265DB-93C6-4DF2-9173-0B750394C514}" uniqueName="3" name="Stake (SOL)" queryTableFieldId="3"/>
    <tableColumn id="4" xr3:uid="{37435B71-D18A-4881-B97C-ED8FE8342335}" uniqueName="4" name="Jito Pool" queryTableFieldId="4" dataDxfId="5"/>
    <tableColumn id="5" xr3:uid="{F307D802-0712-4231-A94F-EBAF834DD7F2}" uniqueName="5" name="Jito Stake (SOL)" queryTableFieldId="5"/>
    <tableColumn id="6" xr3:uid="{B5BB04BA-560D-44CA-BDAB-37B023C07DB2}" uniqueName="6" name="SFDP Status" queryTableFieldId="6" dataDxfId="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D034B1-46D6-40A9-8AC7-A2D0EA963CFF}" name="CaveyCool" displayName="CaveyCool" ref="A1:F18" tableType="queryTable" totalsRowShown="0">
  <autoFilter ref="A1:F18" xr:uid="{D9D034B1-46D6-40A9-8AC7-A2D0EA963CFF}"/>
  <tableColumns count="6">
    <tableColumn id="1" xr3:uid="{A1D04234-9222-480C-A8FC-D55BE6ED8D4A}" uniqueName="1" name="Identity" queryTableFieldId="1" dataDxfId="3"/>
    <tableColumn id="2" xr3:uid="{60169674-6BA3-474D-8F10-68254A05423F}" uniqueName="2" name="Vote" queryTableFieldId="2" dataDxfId="2"/>
    <tableColumn id="3" xr3:uid="{E6D742DB-B161-4CEF-A75D-030817C0FB07}" uniqueName="3" name="Stake (SOL)" queryTableFieldId="3"/>
    <tableColumn id="4" xr3:uid="{56C53472-1EA3-4783-B18B-9AD7082774D1}" uniqueName="4" name="Jito Pool" queryTableFieldId="4" dataDxfId="1"/>
    <tableColumn id="5" xr3:uid="{D0DFBF3F-62D5-4449-A2B1-C6E27BF24154}" uniqueName="5" name="Jito Stake (SOL)" queryTableFieldId="5"/>
    <tableColumn id="6" xr3:uid="{8E60C4DC-6D1B-43E7-8B91-B2F2D75892E3}" uniqueName="6" name="SFDP Statu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3A45-215A-4A29-B648-6B16CC4E8B3B}">
  <dimension ref="A1:E16"/>
  <sheetViews>
    <sheetView tabSelected="1" workbookViewId="0">
      <selection sqref="A1:E16"/>
    </sheetView>
  </sheetViews>
  <sheetFormatPr defaultRowHeight="14.5" x14ac:dyDescent="0.35"/>
  <cols>
    <col min="1" max="1" width="20.1796875" customWidth="1"/>
    <col min="2" max="2" width="22.7265625" style="1" customWidth="1"/>
    <col min="3" max="3" width="21.81640625" customWidth="1"/>
    <col min="4" max="4" width="29.7265625" customWidth="1"/>
    <col min="5" max="5" width="23.26953125" style="1" customWidth="1"/>
  </cols>
  <sheetData>
    <row r="1" spans="1:5" x14ac:dyDescent="0.35">
      <c r="A1" t="s">
        <v>314</v>
      </c>
      <c r="B1" s="1" t="s">
        <v>315</v>
      </c>
      <c r="C1" t="s">
        <v>316</v>
      </c>
      <c r="D1" t="s">
        <v>317</v>
      </c>
      <c r="E1" s="1" t="s">
        <v>318</v>
      </c>
    </row>
    <row r="2" spans="1:5" x14ac:dyDescent="0.35">
      <c r="A2" t="s">
        <v>324</v>
      </c>
      <c r="B2" s="1">
        <f ca="1">SUM(INDIRECT(A2&amp;"[Stake (SOL)]"))</f>
        <v>10604502</v>
      </c>
      <c r="C2">
        <f ca="1">COUNT(INDIRECT(A2&amp;"[Stake (SOL)]"))</f>
        <v>5</v>
      </c>
      <c r="D2">
        <f ca="1">COUNTIF(INDIRECT(A2&amp;"[SFDP Status]"), "Approved")</f>
        <v>0</v>
      </c>
      <c r="E2" s="1">
        <f ca="1">SUM(INDIRECT(A2&amp;"[Jito Stake (SOL)]"))</f>
        <v>0</v>
      </c>
    </row>
    <row r="3" spans="1:5" x14ac:dyDescent="0.35">
      <c r="A3" t="s">
        <v>333</v>
      </c>
      <c r="B3" s="1">
        <f ca="1">SUM(INDIRECT(A3&amp;"[Stake (SOL)]"))</f>
        <v>9769892</v>
      </c>
      <c r="C3">
        <f ca="1">COUNT(INDIRECT(A3&amp;"[Stake (SOL)]"))</f>
        <v>17</v>
      </c>
      <c r="D3">
        <f ca="1">COUNTIF(INDIRECT(A3&amp;"[SFDP Status]"), "Approved")</f>
        <v>7</v>
      </c>
      <c r="E3" s="1">
        <f ca="1">SUM(INDIRECT(A3&amp;"[Jito Stake (SOL)]"))</f>
        <v>700420</v>
      </c>
    </row>
    <row r="4" spans="1:5" x14ac:dyDescent="0.35">
      <c r="A4" t="s">
        <v>320</v>
      </c>
      <c r="B4" s="1">
        <f ca="1">SUM(INDIRECT(A4&amp;"[Stake (SOL)]"))</f>
        <v>6573920</v>
      </c>
      <c r="C4">
        <f ca="1">COUNT(INDIRECT(A4&amp;"[Stake (SOL)]"))</f>
        <v>4</v>
      </c>
      <c r="D4">
        <f ca="1">COUNTIF(INDIRECT(A4&amp;"[SFDP Status]"), "Approved")</f>
        <v>2</v>
      </c>
      <c r="E4" s="1">
        <f ca="1">SUM(INDIRECT(A4&amp;"[Jito Stake (SOL)]"))</f>
        <v>0</v>
      </c>
    </row>
    <row r="5" spans="1:5" x14ac:dyDescent="0.35">
      <c r="A5" t="s">
        <v>319</v>
      </c>
      <c r="B5" s="1">
        <f ca="1">SUM(INDIRECT(A5&amp;"[Stake (SOL)]"))</f>
        <v>4586120</v>
      </c>
      <c r="C5">
        <f ca="1">COUNT(INDIRECT(A5&amp;"[Stake (SOL)]"))</f>
        <v>40</v>
      </c>
      <c r="D5">
        <f ca="1">COUNTIF(INDIRECT(A5&amp;"[SFDP Status]"), "Approved")</f>
        <v>39</v>
      </c>
      <c r="E5" s="1">
        <f ca="1">SUM(INDIRECT(A5&amp;"[Jito Stake (SOL)]"))</f>
        <v>651851</v>
      </c>
    </row>
    <row r="6" spans="1:5" x14ac:dyDescent="0.35">
      <c r="A6" t="s">
        <v>328</v>
      </c>
      <c r="B6" s="1">
        <f ca="1">SUM(INDIRECT(A6&amp;"[Stake (SOL)]"))</f>
        <v>4515953</v>
      </c>
      <c r="C6">
        <f ca="1">COUNT(INDIRECT(A6&amp;"[Stake (SOL)]"))</f>
        <v>4</v>
      </c>
      <c r="D6">
        <f ca="1">COUNTIF(INDIRECT(A6&amp;"[SFDP Status]"), "Approved")</f>
        <v>0</v>
      </c>
      <c r="E6" s="1">
        <f ca="1">SUM(INDIRECT(A6&amp;"[Jito Stake (SOL)]"))</f>
        <v>0</v>
      </c>
    </row>
    <row r="7" spans="1:5" x14ac:dyDescent="0.35">
      <c r="A7" t="s">
        <v>329</v>
      </c>
      <c r="B7" s="1">
        <f ca="1">SUM(INDIRECT(A7&amp;"[Stake (SOL)]"))</f>
        <v>4355881</v>
      </c>
      <c r="C7">
        <f ca="1">COUNT(INDIRECT(A7&amp;"[Stake (SOL)]"))</f>
        <v>21</v>
      </c>
      <c r="D7">
        <f ca="1">COUNTIF(INDIRECT(A7&amp;"[SFDP Status]"), "Approved")</f>
        <v>20</v>
      </c>
      <c r="E7" s="1">
        <f ca="1">SUM(INDIRECT(A7&amp;"[Jito Stake (SOL)]"))</f>
        <v>219456</v>
      </c>
    </row>
    <row r="8" spans="1:5" x14ac:dyDescent="0.35">
      <c r="A8" t="s">
        <v>326</v>
      </c>
      <c r="B8" s="1">
        <f ca="1">SUM(INDIRECT(A8&amp;"[Stake (SOL)]"))</f>
        <v>3642449</v>
      </c>
      <c r="C8">
        <f ca="1">COUNT(INDIRECT(A8&amp;"[Stake (SOL)]"))</f>
        <v>5</v>
      </c>
      <c r="D8">
        <f ca="1">COUNTIF(INDIRECT(A8&amp;"[SFDP Status]"), "Approved")</f>
        <v>0</v>
      </c>
      <c r="E8" s="1">
        <f ca="1">SUM(INDIRECT(A8&amp;"[Jito Stake (SOL)]"))</f>
        <v>0</v>
      </c>
    </row>
    <row r="9" spans="1:5" x14ac:dyDescent="0.35">
      <c r="A9" t="s">
        <v>323</v>
      </c>
      <c r="B9" s="1">
        <f ca="1">SUM(INDIRECT(A9&amp;"[Stake (SOL)]"))</f>
        <v>1083411</v>
      </c>
      <c r="C9">
        <f ca="1">COUNT(INDIRECT(A9&amp;"[Stake (SOL)]"))</f>
        <v>11</v>
      </c>
      <c r="D9">
        <f ca="1">COUNTIF(INDIRECT(A9&amp;"[SFDP Status]"), "Approved")</f>
        <v>11</v>
      </c>
      <c r="E9" s="1">
        <f ca="1">SUM(INDIRECT(A9&amp;"[Jito Stake (SOL)]"))</f>
        <v>36578</v>
      </c>
    </row>
    <row r="10" spans="1:5" x14ac:dyDescent="0.35">
      <c r="A10" t="s">
        <v>325</v>
      </c>
      <c r="B10" s="1">
        <f ca="1">SUM(INDIRECT(A10&amp;"[Stake (SOL)]"))</f>
        <v>813264</v>
      </c>
      <c r="C10">
        <f ca="1">COUNT(INDIRECT(A10&amp;"[Stake (SOL)]"))</f>
        <v>3</v>
      </c>
      <c r="D10">
        <f ca="1">COUNTIF(INDIRECT(A10&amp;"[SFDP Status]"), "Approved")</f>
        <v>1</v>
      </c>
      <c r="E10" s="1">
        <f ca="1">SUM(INDIRECT(A10&amp;"[Jito Stake (SOL)]"))</f>
        <v>112255</v>
      </c>
    </row>
    <row r="11" spans="1:5" x14ac:dyDescent="0.35">
      <c r="A11" t="s">
        <v>322</v>
      </c>
      <c r="B11" s="1">
        <f ca="1">SUM(INDIRECT(A11&amp;"[Stake (SOL)]"))</f>
        <v>698402</v>
      </c>
      <c r="C11">
        <f ca="1">COUNT(INDIRECT(A11&amp;"[Stake (SOL)]"))</f>
        <v>19</v>
      </c>
      <c r="D11">
        <f ca="1">COUNTIF(INDIRECT(A11&amp;"[SFDP Status]"), "Approved")</f>
        <v>6</v>
      </c>
      <c r="E11" s="1">
        <f ca="1">SUM(INDIRECT(A11&amp;"[Jito Stake (SOL)]"))</f>
        <v>367735</v>
      </c>
    </row>
    <row r="12" spans="1:5" x14ac:dyDescent="0.35">
      <c r="A12" t="s">
        <v>331</v>
      </c>
      <c r="B12" s="1">
        <f ca="1">SUM(INDIRECT(A12&amp;"[Stake (SOL)]"))</f>
        <v>621227</v>
      </c>
      <c r="C12">
        <f ca="1">COUNT(INDIRECT(A12&amp;"[Stake (SOL)]"))</f>
        <v>5</v>
      </c>
      <c r="D12">
        <f ca="1">COUNTIF(INDIRECT(A12&amp;"[SFDP Status]"), "Approved")</f>
        <v>4</v>
      </c>
      <c r="E12" s="1">
        <f ca="1">SUM(INDIRECT(A12&amp;"[Jito Stake (SOL)]"))</f>
        <v>39098</v>
      </c>
    </row>
    <row r="13" spans="1:5" x14ac:dyDescent="0.35">
      <c r="A13" t="s">
        <v>330</v>
      </c>
      <c r="B13" s="1">
        <f ca="1">SUM(INDIRECT(A13&amp;"[Stake (SOL)]"))</f>
        <v>569166</v>
      </c>
      <c r="C13">
        <f ca="1">COUNT(INDIRECT(A13&amp;"[Stake (SOL)]"))</f>
        <v>6</v>
      </c>
      <c r="D13">
        <f ca="1">COUNTIF(INDIRECT(A13&amp;"[SFDP Status]"), "Approved")</f>
        <v>6</v>
      </c>
      <c r="E13" s="1">
        <f ca="1">SUM(INDIRECT(A13&amp;"[Jito Stake (SOL)]"))</f>
        <v>36578</v>
      </c>
    </row>
    <row r="14" spans="1:5" x14ac:dyDescent="0.35">
      <c r="A14" t="s">
        <v>332</v>
      </c>
      <c r="B14" s="1">
        <f ca="1">SUM(INDIRECT(A14&amp;"[Stake (SOL)]"))</f>
        <v>375597</v>
      </c>
      <c r="C14">
        <f ca="1">COUNT(INDIRECT(A14&amp;"[Stake (SOL)]"))</f>
        <v>5</v>
      </c>
      <c r="D14">
        <f ca="1">COUNTIF(INDIRECT(A14&amp;"[SFDP Status]"), "Approved")</f>
        <v>3</v>
      </c>
      <c r="E14" s="1">
        <f ca="1">SUM(INDIRECT(A14&amp;"[Jito Stake (SOL)]"))</f>
        <v>109734</v>
      </c>
    </row>
    <row r="15" spans="1:5" x14ac:dyDescent="0.35">
      <c r="A15" t="s">
        <v>321</v>
      </c>
      <c r="B15" s="1">
        <f ca="1">SUM(INDIRECT(A15&amp;"[Stake (SOL)]"))</f>
        <v>322720</v>
      </c>
      <c r="C15">
        <f ca="1">COUNT(INDIRECT(A15&amp;"[Stake (SOL)]"))</f>
        <v>4</v>
      </c>
      <c r="D15">
        <f ca="1">COUNTIF(INDIRECT(A15&amp;"[SFDP Status]"), "Approved")</f>
        <v>3</v>
      </c>
      <c r="E15" s="1">
        <f ca="1">SUM(INDIRECT(A15&amp;"[Jito Stake (SOL)]"))</f>
        <v>111683</v>
      </c>
    </row>
    <row r="16" spans="1:5" x14ac:dyDescent="0.35">
      <c r="A16" t="s">
        <v>327</v>
      </c>
      <c r="B16" s="1">
        <f ca="1">SUM(INDIRECT(A16&amp;"[Stake (SOL)]"))</f>
        <v>172084</v>
      </c>
      <c r="C16">
        <f ca="1">COUNT(INDIRECT(A16&amp;"[Stake (SOL)]"))</f>
        <v>3</v>
      </c>
      <c r="D16">
        <f ca="1">COUNTIF(INDIRECT(A16&amp;"[SFDP Status]"), "Approved")</f>
        <v>3</v>
      </c>
      <c r="E16" s="1">
        <f ca="1">SUM(INDIRECT(A16&amp;"[Jito Stake (SOL)]"))</f>
        <v>36578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9876-7360-4C62-A4BE-BD22FF4B4747}">
  <dimension ref="A1:J41"/>
  <sheetViews>
    <sheetView topLeftCell="B1" workbookViewId="0">
      <selection activeCell="J2" sqref="G1:J2"/>
    </sheetView>
  </sheetViews>
  <sheetFormatPr defaultRowHeight="14.5" x14ac:dyDescent="0.35"/>
  <cols>
    <col min="1" max="1" width="49.81640625" bestFit="1" customWidth="1"/>
    <col min="2" max="2" width="50.632812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6</v>
      </c>
      <c r="B2" t="s">
        <v>7</v>
      </c>
      <c r="C2">
        <v>183</v>
      </c>
      <c r="D2" t="s">
        <v>8</v>
      </c>
      <c r="E2">
        <v>0</v>
      </c>
      <c r="F2" t="s">
        <v>9</v>
      </c>
      <c r="G2">
        <f>SUM(C2:C100)</f>
        <v>4586120</v>
      </c>
      <c r="H2">
        <f>COUNT(C2:C100)</f>
        <v>40</v>
      </c>
      <c r="I2">
        <f>COUNTIF(F2:F100, "Approved")</f>
        <v>39</v>
      </c>
      <c r="J2">
        <f>SUM(E2:E100)</f>
        <v>651851</v>
      </c>
    </row>
    <row r="3" spans="1:10" x14ac:dyDescent="0.35">
      <c r="A3" t="s">
        <v>10</v>
      </c>
      <c r="B3" t="s">
        <v>11</v>
      </c>
      <c r="C3">
        <v>55492</v>
      </c>
      <c r="D3" t="s">
        <v>8</v>
      </c>
      <c r="E3">
        <v>0</v>
      </c>
      <c r="F3" t="s">
        <v>12</v>
      </c>
    </row>
    <row r="4" spans="1:10" x14ac:dyDescent="0.35">
      <c r="A4" t="s">
        <v>13</v>
      </c>
      <c r="B4" t="s">
        <v>14</v>
      </c>
      <c r="C4">
        <v>102845</v>
      </c>
      <c r="D4" t="s">
        <v>8</v>
      </c>
      <c r="E4">
        <v>36578</v>
      </c>
      <c r="F4" t="s">
        <v>12</v>
      </c>
    </row>
    <row r="5" spans="1:10" x14ac:dyDescent="0.35">
      <c r="A5" t="s">
        <v>15</v>
      </c>
      <c r="B5" t="s">
        <v>16</v>
      </c>
      <c r="C5">
        <v>103191</v>
      </c>
      <c r="D5" t="s">
        <v>8</v>
      </c>
      <c r="E5">
        <v>36578</v>
      </c>
      <c r="F5" t="s">
        <v>12</v>
      </c>
    </row>
    <row r="6" spans="1:10" x14ac:dyDescent="0.35">
      <c r="A6" t="s">
        <v>17</v>
      </c>
      <c r="B6" t="s">
        <v>18</v>
      </c>
      <c r="C6">
        <v>42583</v>
      </c>
      <c r="D6" t="s">
        <v>8</v>
      </c>
      <c r="E6">
        <v>0</v>
      </c>
      <c r="F6" t="s">
        <v>12</v>
      </c>
    </row>
    <row r="7" spans="1:10" x14ac:dyDescent="0.35">
      <c r="A7" t="s">
        <v>19</v>
      </c>
      <c r="B7" t="s">
        <v>20</v>
      </c>
      <c r="C7">
        <v>82265</v>
      </c>
      <c r="D7" t="s">
        <v>8</v>
      </c>
      <c r="E7">
        <v>0</v>
      </c>
      <c r="F7" t="s">
        <v>12</v>
      </c>
    </row>
    <row r="8" spans="1:10" x14ac:dyDescent="0.35">
      <c r="A8" t="s">
        <v>21</v>
      </c>
      <c r="B8" t="s">
        <v>22</v>
      </c>
      <c r="C8">
        <v>69083</v>
      </c>
      <c r="D8" t="s">
        <v>8</v>
      </c>
      <c r="E8">
        <v>0</v>
      </c>
      <c r="F8" t="s">
        <v>12</v>
      </c>
    </row>
    <row r="9" spans="1:10" x14ac:dyDescent="0.35">
      <c r="A9" t="s">
        <v>23</v>
      </c>
      <c r="B9" t="s">
        <v>24</v>
      </c>
      <c r="C9">
        <v>112997</v>
      </c>
      <c r="D9" t="s">
        <v>8</v>
      </c>
      <c r="E9">
        <v>36578</v>
      </c>
      <c r="F9" t="s">
        <v>12</v>
      </c>
    </row>
    <row r="10" spans="1:10" x14ac:dyDescent="0.35">
      <c r="A10" t="s">
        <v>25</v>
      </c>
      <c r="B10" t="s">
        <v>26</v>
      </c>
      <c r="C10">
        <v>46588</v>
      </c>
      <c r="D10" t="s">
        <v>8</v>
      </c>
      <c r="E10">
        <v>0</v>
      </c>
      <c r="F10" t="s">
        <v>12</v>
      </c>
    </row>
    <row r="11" spans="1:10" x14ac:dyDescent="0.35">
      <c r="A11" t="s">
        <v>27</v>
      </c>
      <c r="B11" t="s">
        <v>28</v>
      </c>
      <c r="C11">
        <v>246665</v>
      </c>
      <c r="D11" t="s">
        <v>8</v>
      </c>
      <c r="E11">
        <v>0</v>
      </c>
      <c r="F11" t="s">
        <v>12</v>
      </c>
    </row>
    <row r="12" spans="1:10" x14ac:dyDescent="0.35">
      <c r="A12" t="s">
        <v>29</v>
      </c>
      <c r="B12" t="s">
        <v>30</v>
      </c>
      <c r="C12">
        <v>114410</v>
      </c>
      <c r="D12" t="s">
        <v>8</v>
      </c>
      <c r="E12">
        <v>36578</v>
      </c>
      <c r="F12" t="s">
        <v>12</v>
      </c>
    </row>
    <row r="13" spans="1:10" x14ac:dyDescent="0.35">
      <c r="A13" t="s">
        <v>31</v>
      </c>
      <c r="B13" t="s">
        <v>32</v>
      </c>
      <c r="C13">
        <v>75642</v>
      </c>
      <c r="D13" t="s">
        <v>8</v>
      </c>
      <c r="E13">
        <v>0</v>
      </c>
      <c r="F13" t="s">
        <v>12</v>
      </c>
    </row>
    <row r="14" spans="1:10" x14ac:dyDescent="0.35">
      <c r="A14" t="s">
        <v>33</v>
      </c>
      <c r="B14" t="s">
        <v>34</v>
      </c>
      <c r="C14">
        <v>118752</v>
      </c>
      <c r="D14" t="s">
        <v>8</v>
      </c>
      <c r="E14">
        <v>0</v>
      </c>
      <c r="F14" t="s">
        <v>12</v>
      </c>
    </row>
    <row r="15" spans="1:10" x14ac:dyDescent="0.35">
      <c r="A15" t="s">
        <v>35</v>
      </c>
      <c r="B15" t="s">
        <v>36</v>
      </c>
      <c r="C15">
        <v>449397</v>
      </c>
      <c r="D15" t="s">
        <v>8</v>
      </c>
      <c r="E15">
        <v>0</v>
      </c>
      <c r="F15" t="s">
        <v>12</v>
      </c>
    </row>
    <row r="16" spans="1:10" x14ac:dyDescent="0.35">
      <c r="A16" t="s">
        <v>37</v>
      </c>
      <c r="B16" t="s">
        <v>38</v>
      </c>
      <c r="C16">
        <v>108243</v>
      </c>
      <c r="D16" t="s">
        <v>8</v>
      </c>
      <c r="E16">
        <v>36578</v>
      </c>
      <c r="F16" t="s">
        <v>12</v>
      </c>
    </row>
    <row r="17" spans="1:6" x14ac:dyDescent="0.35">
      <c r="A17" t="s">
        <v>39</v>
      </c>
      <c r="B17" t="s">
        <v>40</v>
      </c>
      <c r="C17">
        <v>96655</v>
      </c>
      <c r="D17" t="s">
        <v>8</v>
      </c>
      <c r="E17">
        <v>0</v>
      </c>
      <c r="F17" t="s">
        <v>12</v>
      </c>
    </row>
    <row r="18" spans="1:6" x14ac:dyDescent="0.35">
      <c r="A18" t="s">
        <v>41</v>
      </c>
      <c r="B18" t="s">
        <v>42</v>
      </c>
      <c r="C18">
        <v>105533</v>
      </c>
      <c r="D18" t="s">
        <v>8</v>
      </c>
      <c r="E18">
        <v>36578</v>
      </c>
      <c r="F18" t="s">
        <v>12</v>
      </c>
    </row>
    <row r="19" spans="1:6" x14ac:dyDescent="0.35">
      <c r="A19" t="s">
        <v>43</v>
      </c>
      <c r="B19" t="s">
        <v>44</v>
      </c>
      <c r="C19">
        <v>75073</v>
      </c>
      <c r="D19" t="s">
        <v>8</v>
      </c>
      <c r="E19">
        <v>0</v>
      </c>
      <c r="F19" t="s">
        <v>12</v>
      </c>
    </row>
    <row r="20" spans="1:6" x14ac:dyDescent="0.35">
      <c r="A20" t="s">
        <v>45</v>
      </c>
      <c r="B20" t="s">
        <v>46</v>
      </c>
      <c r="C20">
        <v>101427</v>
      </c>
      <c r="D20" t="s">
        <v>8</v>
      </c>
      <c r="E20">
        <v>0</v>
      </c>
      <c r="F20" t="s">
        <v>12</v>
      </c>
    </row>
    <row r="21" spans="1:6" x14ac:dyDescent="0.35">
      <c r="A21" t="s">
        <v>47</v>
      </c>
      <c r="B21" t="s">
        <v>48</v>
      </c>
      <c r="C21">
        <v>101676</v>
      </c>
      <c r="D21" t="s">
        <v>8</v>
      </c>
      <c r="E21">
        <v>36578</v>
      </c>
      <c r="F21" t="s">
        <v>12</v>
      </c>
    </row>
    <row r="22" spans="1:6" x14ac:dyDescent="0.35">
      <c r="A22" t="s">
        <v>49</v>
      </c>
      <c r="B22" t="s">
        <v>50</v>
      </c>
      <c r="C22">
        <v>145180</v>
      </c>
      <c r="D22" t="s">
        <v>8</v>
      </c>
      <c r="E22">
        <v>36578</v>
      </c>
      <c r="F22" t="s">
        <v>12</v>
      </c>
    </row>
    <row r="23" spans="1:6" x14ac:dyDescent="0.35">
      <c r="A23" t="s">
        <v>51</v>
      </c>
      <c r="B23" t="s">
        <v>52</v>
      </c>
      <c r="C23">
        <v>101750</v>
      </c>
      <c r="D23" t="s">
        <v>8</v>
      </c>
      <c r="E23">
        <v>36578</v>
      </c>
      <c r="F23" t="s">
        <v>12</v>
      </c>
    </row>
    <row r="24" spans="1:6" x14ac:dyDescent="0.35">
      <c r="A24" t="s">
        <v>53</v>
      </c>
      <c r="B24" t="s">
        <v>54</v>
      </c>
      <c r="C24">
        <v>103243</v>
      </c>
      <c r="D24" t="s">
        <v>8</v>
      </c>
      <c r="E24">
        <v>36578</v>
      </c>
      <c r="F24" t="s">
        <v>12</v>
      </c>
    </row>
    <row r="25" spans="1:6" x14ac:dyDescent="0.35">
      <c r="A25" t="s">
        <v>55</v>
      </c>
      <c r="B25" t="s">
        <v>56</v>
      </c>
      <c r="C25">
        <v>108227</v>
      </c>
      <c r="D25" t="s">
        <v>8</v>
      </c>
      <c r="E25">
        <v>36578</v>
      </c>
      <c r="F25" t="s">
        <v>12</v>
      </c>
    </row>
    <row r="26" spans="1:6" x14ac:dyDescent="0.35">
      <c r="A26" t="s">
        <v>57</v>
      </c>
      <c r="B26" t="s">
        <v>58</v>
      </c>
      <c r="C26">
        <v>52002</v>
      </c>
      <c r="D26" t="s">
        <v>8</v>
      </c>
      <c r="E26">
        <v>0</v>
      </c>
      <c r="F26" t="s">
        <v>12</v>
      </c>
    </row>
    <row r="27" spans="1:6" x14ac:dyDescent="0.35">
      <c r="A27" t="s">
        <v>59</v>
      </c>
      <c r="B27" t="s">
        <v>60</v>
      </c>
      <c r="C27">
        <v>189773</v>
      </c>
      <c r="D27" t="s">
        <v>8</v>
      </c>
      <c r="E27">
        <v>69751</v>
      </c>
      <c r="F27" t="s">
        <v>12</v>
      </c>
    </row>
    <row r="28" spans="1:6" x14ac:dyDescent="0.35">
      <c r="A28" t="s">
        <v>61</v>
      </c>
      <c r="B28" t="s">
        <v>62</v>
      </c>
      <c r="C28">
        <v>101774</v>
      </c>
      <c r="D28" t="s">
        <v>8</v>
      </c>
      <c r="E28">
        <v>36578</v>
      </c>
      <c r="F28" t="s">
        <v>12</v>
      </c>
    </row>
    <row r="29" spans="1:6" x14ac:dyDescent="0.35">
      <c r="A29" t="s">
        <v>63</v>
      </c>
      <c r="B29" t="s">
        <v>64</v>
      </c>
      <c r="C29">
        <v>369621</v>
      </c>
      <c r="D29" t="s">
        <v>8</v>
      </c>
      <c r="E29">
        <v>0</v>
      </c>
      <c r="F29" t="s">
        <v>12</v>
      </c>
    </row>
    <row r="30" spans="1:6" x14ac:dyDescent="0.35">
      <c r="A30" t="s">
        <v>65</v>
      </c>
      <c r="B30" t="s">
        <v>66</v>
      </c>
      <c r="C30">
        <v>134538</v>
      </c>
      <c r="D30" t="s">
        <v>8</v>
      </c>
      <c r="E30">
        <v>0</v>
      </c>
      <c r="F30" t="s">
        <v>12</v>
      </c>
    </row>
    <row r="31" spans="1:6" x14ac:dyDescent="0.35">
      <c r="A31" t="s">
        <v>67</v>
      </c>
      <c r="B31" t="s">
        <v>68</v>
      </c>
      <c r="C31">
        <v>38486</v>
      </c>
      <c r="D31" t="s">
        <v>8</v>
      </c>
      <c r="E31">
        <v>0</v>
      </c>
      <c r="F31" t="s">
        <v>12</v>
      </c>
    </row>
    <row r="32" spans="1:6" x14ac:dyDescent="0.35">
      <c r="A32" t="s">
        <v>69</v>
      </c>
      <c r="B32" t="s">
        <v>70</v>
      </c>
      <c r="C32">
        <v>154499</v>
      </c>
      <c r="D32" t="s">
        <v>8</v>
      </c>
      <c r="E32">
        <v>36578</v>
      </c>
      <c r="F32" t="s">
        <v>12</v>
      </c>
    </row>
    <row r="33" spans="1:6" x14ac:dyDescent="0.35">
      <c r="A33" t="s">
        <v>71</v>
      </c>
      <c r="B33" t="s">
        <v>72</v>
      </c>
      <c r="C33">
        <v>38780</v>
      </c>
      <c r="D33" t="s">
        <v>8</v>
      </c>
      <c r="E33">
        <v>0</v>
      </c>
      <c r="F33" t="s">
        <v>12</v>
      </c>
    </row>
    <row r="34" spans="1:6" x14ac:dyDescent="0.35">
      <c r="A34" t="s">
        <v>73</v>
      </c>
      <c r="B34" t="s">
        <v>74</v>
      </c>
      <c r="C34">
        <v>72024</v>
      </c>
      <c r="D34" t="s">
        <v>8</v>
      </c>
      <c r="E34">
        <v>0</v>
      </c>
      <c r="F34" t="s">
        <v>12</v>
      </c>
    </row>
    <row r="35" spans="1:6" x14ac:dyDescent="0.35">
      <c r="A35" t="s">
        <v>75</v>
      </c>
      <c r="B35" t="s">
        <v>76</v>
      </c>
      <c r="C35">
        <v>160560</v>
      </c>
      <c r="D35" t="s">
        <v>8</v>
      </c>
      <c r="E35">
        <v>70008</v>
      </c>
      <c r="F35" t="s">
        <v>12</v>
      </c>
    </row>
    <row r="36" spans="1:6" x14ac:dyDescent="0.35">
      <c r="A36" t="s">
        <v>77</v>
      </c>
      <c r="B36" t="s">
        <v>78</v>
      </c>
      <c r="C36">
        <v>45712</v>
      </c>
      <c r="D36" t="s">
        <v>8</v>
      </c>
      <c r="E36">
        <v>0</v>
      </c>
      <c r="F36" t="s">
        <v>12</v>
      </c>
    </row>
    <row r="37" spans="1:6" x14ac:dyDescent="0.35">
      <c r="A37" t="s">
        <v>79</v>
      </c>
      <c r="B37" t="s">
        <v>80</v>
      </c>
      <c r="C37">
        <v>45821</v>
      </c>
      <c r="D37" t="s">
        <v>8</v>
      </c>
      <c r="E37">
        <v>0</v>
      </c>
      <c r="F37" t="s">
        <v>12</v>
      </c>
    </row>
    <row r="38" spans="1:6" x14ac:dyDescent="0.35">
      <c r="A38" t="s">
        <v>81</v>
      </c>
      <c r="B38" t="s">
        <v>82</v>
      </c>
      <c r="C38">
        <v>127990</v>
      </c>
      <c r="D38" t="s">
        <v>8</v>
      </c>
      <c r="E38">
        <v>36578</v>
      </c>
      <c r="F38" t="s">
        <v>12</v>
      </c>
    </row>
    <row r="39" spans="1:6" x14ac:dyDescent="0.35">
      <c r="A39" t="s">
        <v>83</v>
      </c>
      <c r="B39" t="s">
        <v>84</v>
      </c>
      <c r="C39">
        <v>77983</v>
      </c>
      <c r="D39" t="s">
        <v>8</v>
      </c>
      <c r="E39">
        <v>0</v>
      </c>
      <c r="F39" t="s">
        <v>12</v>
      </c>
    </row>
    <row r="40" spans="1:6" x14ac:dyDescent="0.35">
      <c r="A40" t="s">
        <v>85</v>
      </c>
      <c r="B40" t="s">
        <v>86</v>
      </c>
      <c r="C40">
        <v>47925</v>
      </c>
      <c r="D40" t="s">
        <v>8</v>
      </c>
      <c r="E40">
        <v>0</v>
      </c>
      <c r="F40" t="s">
        <v>12</v>
      </c>
    </row>
    <row r="41" spans="1:6" x14ac:dyDescent="0.35">
      <c r="A41" t="s">
        <v>87</v>
      </c>
      <c r="B41" t="s">
        <v>88</v>
      </c>
      <c r="C41">
        <v>261532</v>
      </c>
      <c r="D41" t="s">
        <v>8</v>
      </c>
      <c r="E41">
        <v>0</v>
      </c>
      <c r="F4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B39F-AF6C-49BC-9439-1A8932420963}">
  <dimension ref="A1:J5"/>
  <sheetViews>
    <sheetView topLeftCell="B1" workbookViewId="0">
      <selection activeCell="G1" sqref="G1:J2"/>
    </sheetView>
  </sheetViews>
  <sheetFormatPr defaultRowHeight="14.5" x14ac:dyDescent="0.35"/>
  <cols>
    <col min="1" max="1" width="47.26953125" bestFit="1" customWidth="1"/>
    <col min="2" max="2" width="48.8164062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175</v>
      </c>
      <c r="B2" t="s">
        <v>176</v>
      </c>
      <c r="C2">
        <v>11479</v>
      </c>
      <c r="D2" t="s">
        <v>8</v>
      </c>
      <c r="E2">
        <v>0</v>
      </c>
      <c r="F2" t="s">
        <v>12</v>
      </c>
      <c r="G2">
        <f>SUM(C2:C100)</f>
        <v>6573920</v>
      </c>
      <c r="H2">
        <f>COUNT(C2:C100)</f>
        <v>4</v>
      </c>
      <c r="I2">
        <f>COUNTIF(F2:F100, "Approved")</f>
        <v>2</v>
      </c>
      <c r="J2">
        <f>SUM(E2:E100)</f>
        <v>0</v>
      </c>
    </row>
    <row r="3" spans="1:10" x14ac:dyDescent="0.35">
      <c r="A3" t="s">
        <v>177</v>
      </c>
      <c r="B3" t="s">
        <v>178</v>
      </c>
      <c r="C3">
        <v>15151</v>
      </c>
      <c r="D3" t="s">
        <v>8</v>
      </c>
      <c r="E3">
        <v>0</v>
      </c>
      <c r="F3" t="s">
        <v>12</v>
      </c>
    </row>
    <row r="4" spans="1:10" x14ac:dyDescent="0.35">
      <c r="A4" t="s">
        <v>179</v>
      </c>
      <c r="B4" t="s">
        <v>180</v>
      </c>
      <c r="C4">
        <v>4004552</v>
      </c>
      <c r="D4" t="s">
        <v>8</v>
      </c>
      <c r="E4">
        <v>0</v>
      </c>
      <c r="F4" t="s">
        <v>91</v>
      </c>
    </row>
    <row r="5" spans="1:10" x14ac:dyDescent="0.35">
      <c r="A5" t="s">
        <v>181</v>
      </c>
      <c r="B5" t="s">
        <v>182</v>
      </c>
      <c r="C5">
        <v>2542738</v>
      </c>
      <c r="D5" t="s">
        <v>8</v>
      </c>
      <c r="E5">
        <v>0</v>
      </c>
      <c r="F5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3FFB-EDB6-4F3B-A125-31649BE284F3}">
  <dimension ref="A1:J5"/>
  <sheetViews>
    <sheetView topLeftCell="B1" workbookViewId="0">
      <selection activeCell="B10" sqref="B10"/>
    </sheetView>
  </sheetViews>
  <sheetFormatPr defaultRowHeight="14.5" x14ac:dyDescent="0.35"/>
  <cols>
    <col min="1" max="1" width="51.08984375" bestFit="1" customWidth="1"/>
    <col min="2" max="2" width="49.9062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167</v>
      </c>
      <c r="B2" t="s">
        <v>168</v>
      </c>
      <c r="C2">
        <v>64158</v>
      </c>
      <c r="D2" t="s">
        <v>8</v>
      </c>
      <c r="E2">
        <v>36566</v>
      </c>
      <c r="F2" t="s">
        <v>12</v>
      </c>
      <c r="G2">
        <f>SUM(C2:C100)</f>
        <v>322720</v>
      </c>
      <c r="H2">
        <f>COUNT(C2:C100)</f>
        <v>4</v>
      </c>
      <c r="I2">
        <f>COUNTIF(F2:F100, "Approved")</f>
        <v>3</v>
      </c>
      <c r="J2">
        <f>SUM(E2:E100)</f>
        <v>111683</v>
      </c>
    </row>
    <row r="3" spans="1:10" x14ac:dyDescent="0.35">
      <c r="A3" t="s">
        <v>169</v>
      </c>
      <c r="B3" t="s">
        <v>170</v>
      </c>
      <c r="C3">
        <v>86419</v>
      </c>
      <c r="D3" t="s">
        <v>8</v>
      </c>
      <c r="E3">
        <v>36578</v>
      </c>
      <c r="F3" t="s">
        <v>12</v>
      </c>
    </row>
    <row r="4" spans="1:10" x14ac:dyDescent="0.35">
      <c r="A4" t="s">
        <v>171</v>
      </c>
      <c r="B4" t="s">
        <v>172</v>
      </c>
      <c r="C4">
        <v>131826</v>
      </c>
      <c r="D4" t="s">
        <v>8</v>
      </c>
      <c r="E4">
        <v>38539</v>
      </c>
      <c r="F4" t="s">
        <v>12</v>
      </c>
    </row>
    <row r="5" spans="1:10" x14ac:dyDescent="0.35">
      <c r="A5" t="s">
        <v>173</v>
      </c>
      <c r="B5" t="s">
        <v>174</v>
      </c>
      <c r="C5">
        <v>40317</v>
      </c>
      <c r="D5" t="s">
        <v>8</v>
      </c>
      <c r="E5">
        <v>0</v>
      </c>
      <c r="F5" t="s">
        <v>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6010-B840-41E0-9EF4-BF24110922F5}">
  <dimension ref="A1:J20"/>
  <sheetViews>
    <sheetView topLeftCell="B1" workbookViewId="0">
      <selection activeCell="E5" sqref="E5"/>
    </sheetView>
  </sheetViews>
  <sheetFormatPr defaultRowHeight="14.5" x14ac:dyDescent="0.35"/>
  <cols>
    <col min="1" max="1" width="47.90625" bestFit="1" customWidth="1"/>
    <col min="2" max="2" width="48.0898437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157</v>
      </c>
      <c r="B2" t="s">
        <v>158</v>
      </c>
      <c r="C2">
        <v>129788</v>
      </c>
      <c r="D2" t="s">
        <v>8</v>
      </c>
      <c r="E2">
        <v>71045</v>
      </c>
      <c r="F2" t="s">
        <v>12</v>
      </c>
      <c r="G2">
        <f>SUM(C2:C100)</f>
        <v>698402</v>
      </c>
      <c r="H2">
        <f>COUNT(C2:C100)</f>
        <v>19</v>
      </c>
      <c r="I2">
        <f>COUNTIF(F2:F100, "Approved")</f>
        <v>6</v>
      </c>
      <c r="J2">
        <f>SUM(E2:E100)</f>
        <v>367735</v>
      </c>
    </row>
    <row r="3" spans="1:10" x14ac:dyDescent="0.35">
      <c r="A3" t="s">
        <v>137</v>
      </c>
      <c r="B3" t="s">
        <v>138</v>
      </c>
      <c r="C3">
        <v>96055</v>
      </c>
      <c r="D3" t="s">
        <v>8</v>
      </c>
      <c r="E3">
        <v>36578</v>
      </c>
      <c r="F3" t="s">
        <v>12</v>
      </c>
    </row>
    <row r="4" spans="1:10" x14ac:dyDescent="0.35">
      <c r="A4" t="s">
        <v>165</v>
      </c>
      <c r="B4" t="s">
        <v>166</v>
      </c>
      <c r="C4">
        <v>89438</v>
      </c>
      <c r="D4" t="s">
        <v>8</v>
      </c>
      <c r="E4">
        <v>39098</v>
      </c>
      <c r="F4" t="s">
        <v>12</v>
      </c>
    </row>
    <row r="5" spans="1:10" x14ac:dyDescent="0.35">
      <c r="A5" t="s">
        <v>143</v>
      </c>
      <c r="B5" t="s">
        <v>144</v>
      </c>
      <c r="C5">
        <v>88873</v>
      </c>
      <c r="D5" t="s">
        <v>8</v>
      </c>
      <c r="E5">
        <v>38981</v>
      </c>
      <c r="F5" t="s">
        <v>12</v>
      </c>
    </row>
    <row r="6" spans="1:10" x14ac:dyDescent="0.35">
      <c r="A6" t="s">
        <v>145</v>
      </c>
      <c r="B6" t="s">
        <v>146</v>
      </c>
      <c r="C6">
        <v>87603</v>
      </c>
      <c r="D6" t="s">
        <v>8</v>
      </c>
      <c r="E6">
        <v>36578</v>
      </c>
      <c r="F6" t="s">
        <v>12</v>
      </c>
    </row>
    <row r="7" spans="1:10" x14ac:dyDescent="0.35">
      <c r="A7" t="s">
        <v>163</v>
      </c>
      <c r="B7" t="s">
        <v>164</v>
      </c>
      <c r="C7">
        <v>74216</v>
      </c>
      <c r="D7" t="s">
        <v>8</v>
      </c>
      <c r="E7">
        <v>38981</v>
      </c>
      <c r="F7" t="s">
        <v>12</v>
      </c>
    </row>
    <row r="8" spans="1:10" x14ac:dyDescent="0.35">
      <c r="A8" t="s">
        <v>147</v>
      </c>
      <c r="B8" t="s">
        <v>148</v>
      </c>
      <c r="C8">
        <v>68778</v>
      </c>
      <c r="D8" t="s">
        <v>8</v>
      </c>
      <c r="E8">
        <v>67930</v>
      </c>
      <c r="F8" t="s">
        <v>9</v>
      </c>
    </row>
    <row r="9" spans="1:10" x14ac:dyDescent="0.35">
      <c r="A9" t="s">
        <v>141</v>
      </c>
      <c r="B9" t="s">
        <v>142</v>
      </c>
      <c r="C9">
        <v>62538</v>
      </c>
      <c r="D9" t="s">
        <v>8</v>
      </c>
      <c r="E9">
        <v>38544</v>
      </c>
      <c r="F9" t="s">
        <v>91</v>
      </c>
    </row>
    <row r="10" spans="1:10" x14ac:dyDescent="0.35">
      <c r="A10" t="s">
        <v>131</v>
      </c>
      <c r="B10" t="s">
        <v>132</v>
      </c>
      <c r="C10">
        <v>488</v>
      </c>
      <c r="D10" t="s">
        <v>128</v>
      </c>
      <c r="E10">
        <v>0</v>
      </c>
      <c r="F10" t="s">
        <v>91</v>
      </c>
    </row>
    <row r="11" spans="1:10" x14ac:dyDescent="0.35">
      <c r="A11" t="s">
        <v>161</v>
      </c>
      <c r="B11" t="s">
        <v>162</v>
      </c>
      <c r="C11">
        <v>395</v>
      </c>
      <c r="D11" t="s">
        <v>128</v>
      </c>
      <c r="E11">
        <v>0</v>
      </c>
      <c r="F11" t="s">
        <v>9</v>
      </c>
    </row>
    <row r="12" spans="1:10" x14ac:dyDescent="0.35">
      <c r="A12" t="s">
        <v>139</v>
      </c>
      <c r="B12" t="s">
        <v>140</v>
      </c>
      <c r="C12">
        <v>115</v>
      </c>
      <c r="D12" t="s">
        <v>128</v>
      </c>
      <c r="E12">
        <v>0</v>
      </c>
      <c r="F12" t="s">
        <v>91</v>
      </c>
    </row>
    <row r="13" spans="1:10" x14ac:dyDescent="0.35">
      <c r="A13" t="s">
        <v>135</v>
      </c>
      <c r="B13" t="s">
        <v>136</v>
      </c>
      <c r="C13">
        <v>69</v>
      </c>
      <c r="D13" t="s">
        <v>128</v>
      </c>
      <c r="E13">
        <v>0</v>
      </c>
      <c r="F13" t="s">
        <v>9</v>
      </c>
    </row>
    <row r="14" spans="1:10" x14ac:dyDescent="0.35">
      <c r="A14" t="s">
        <v>151</v>
      </c>
      <c r="B14" t="s">
        <v>152</v>
      </c>
      <c r="C14">
        <v>21</v>
      </c>
      <c r="D14" t="s">
        <v>128</v>
      </c>
      <c r="E14">
        <v>0</v>
      </c>
      <c r="F14" t="s">
        <v>91</v>
      </c>
    </row>
    <row r="15" spans="1:10" x14ac:dyDescent="0.35">
      <c r="A15" t="s">
        <v>129</v>
      </c>
      <c r="B15" t="s">
        <v>130</v>
      </c>
      <c r="C15">
        <v>16</v>
      </c>
      <c r="D15" t="s">
        <v>128</v>
      </c>
      <c r="E15">
        <v>0</v>
      </c>
      <c r="F15" t="s">
        <v>91</v>
      </c>
    </row>
    <row r="16" spans="1:10" x14ac:dyDescent="0.35">
      <c r="A16" t="s">
        <v>149</v>
      </c>
      <c r="B16" t="s">
        <v>150</v>
      </c>
      <c r="C16">
        <v>5</v>
      </c>
      <c r="D16" t="s">
        <v>128</v>
      </c>
      <c r="E16">
        <v>0</v>
      </c>
      <c r="F16" t="s">
        <v>9</v>
      </c>
    </row>
    <row r="17" spans="1:6" x14ac:dyDescent="0.35">
      <c r="A17" t="s">
        <v>155</v>
      </c>
      <c r="B17" t="s">
        <v>156</v>
      </c>
      <c r="C17">
        <v>4</v>
      </c>
      <c r="D17" t="s">
        <v>128</v>
      </c>
      <c r="E17">
        <v>0</v>
      </c>
      <c r="F17" t="s">
        <v>91</v>
      </c>
    </row>
    <row r="18" spans="1:6" x14ac:dyDescent="0.35">
      <c r="A18" t="s">
        <v>133</v>
      </c>
      <c r="B18" t="s">
        <v>134</v>
      </c>
      <c r="C18">
        <v>0</v>
      </c>
      <c r="D18" t="s">
        <v>128</v>
      </c>
      <c r="E18">
        <v>0</v>
      </c>
      <c r="F18" t="s">
        <v>91</v>
      </c>
    </row>
    <row r="19" spans="1:6" x14ac:dyDescent="0.35">
      <c r="A19" t="s">
        <v>153</v>
      </c>
      <c r="B19" t="s">
        <v>154</v>
      </c>
      <c r="C19">
        <v>0</v>
      </c>
      <c r="D19" t="s">
        <v>128</v>
      </c>
      <c r="E19">
        <v>0</v>
      </c>
      <c r="F19" t="s">
        <v>91</v>
      </c>
    </row>
    <row r="20" spans="1:6" x14ac:dyDescent="0.35">
      <c r="A20" t="s">
        <v>159</v>
      </c>
      <c r="B20" t="s">
        <v>160</v>
      </c>
      <c r="C20">
        <v>0</v>
      </c>
      <c r="D20" t="s">
        <v>128</v>
      </c>
      <c r="E20">
        <v>0</v>
      </c>
      <c r="F20" t="s">
        <v>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21B3-A319-4E62-93BF-6ACA72CAEE23}">
  <dimension ref="A1:J12"/>
  <sheetViews>
    <sheetView topLeftCell="B1" workbookViewId="0">
      <selection activeCell="B5" sqref="B5"/>
    </sheetView>
  </sheetViews>
  <sheetFormatPr defaultRowHeight="14.5" x14ac:dyDescent="0.35"/>
  <cols>
    <col min="1" max="1" width="47.453125" bestFit="1" customWidth="1"/>
    <col min="2" max="2" width="46.726562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116</v>
      </c>
      <c r="B2" t="s">
        <v>117</v>
      </c>
      <c r="C2">
        <v>550523</v>
      </c>
      <c r="D2" t="s">
        <v>8</v>
      </c>
      <c r="E2">
        <v>36578</v>
      </c>
      <c r="F2" t="s">
        <v>12</v>
      </c>
      <c r="G2">
        <f>SUM(C2:C100)</f>
        <v>1083411</v>
      </c>
      <c r="H2">
        <f>COUNT(C2:C100)</f>
        <v>11</v>
      </c>
      <c r="I2">
        <f>COUNTIF(F2:F100, "Approved")</f>
        <v>11</v>
      </c>
      <c r="J2">
        <f>SUM(E2:E100)</f>
        <v>36578</v>
      </c>
    </row>
    <row r="3" spans="1:10" x14ac:dyDescent="0.35">
      <c r="A3" t="s">
        <v>98</v>
      </c>
      <c r="B3" t="s">
        <v>99</v>
      </c>
      <c r="C3">
        <v>68373</v>
      </c>
      <c r="D3" t="s">
        <v>8</v>
      </c>
      <c r="E3">
        <v>0</v>
      </c>
      <c r="F3" t="s">
        <v>12</v>
      </c>
    </row>
    <row r="4" spans="1:10" x14ac:dyDescent="0.35">
      <c r="A4" t="s">
        <v>114</v>
      </c>
      <c r="B4" t="s">
        <v>115</v>
      </c>
      <c r="C4">
        <v>65999</v>
      </c>
      <c r="D4" t="s">
        <v>8</v>
      </c>
      <c r="E4">
        <v>0</v>
      </c>
      <c r="F4" t="s">
        <v>12</v>
      </c>
    </row>
    <row r="5" spans="1:10" x14ac:dyDescent="0.35">
      <c r="A5" t="s">
        <v>120</v>
      </c>
      <c r="B5" t="s">
        <v>121</v>
      </c>
      <c r="C5">
        <v>64723</v>
      </c>
      <c r="D5" t="s">
        <v>8</v>
      </c>
      <c r="E5">
        <v>0</v>
      </c>
      <c r="F5" t="s">
        <v>12</v>
      </c>
    </row>
    <row r="6" spans="1:10" x14ac:dyDescent="0.35">
      <c r="A6" t="s">
        <v>104</v>
      </c>
      <c r="B6" t="s">
        <v>105</v>
      </c>
      <c r="C6">
        <v>47825</v>
      </c>
      <c r="D6" t="s">
        <v>8</v>
      </c>
      <c r="E6">
        <v>0</v>
      </c>
      <c r="F6" t="s">
        <v>12</v>
      </c>
    </row>
    <row r="7" spans="1:10" x14ac:dyDescent="0.35">
      <c r="A7" t="s">
        <v>112</v>
      </c>
      <c r="B7" t="s">
        <v>113</v>
      </c>
      <c r="C7">
        <v>47676</v>
      </c>
      <c r="D7" t="s">
        <v>8</v>
      </c>
      <c r="E7">
        <v>0</v>
      </c>
      <c r="F7" t="s">
        <v>12</v>
      </c>
    </row>
    <row r="8" spans="1:10" x14ac:dyDescent="0.35">
      <c r="A8" t="s">
        <v>108</v>
      </c>
      <c r="B8" t="s">
        <v>109</v>
      </c>
      <c r="C8">
        <v>47673</v>
      </c>
      <c r="D8" t="s">
        <v>8</v>
      </c>
      <c r="E8">
        <v>0</v>
      </c>
      <c r="F8" t="s">
        <v>12</v>
      </c>
    </row>
    <row r="9" spans="1:10" x14ac:dyDescent="0.35">
      <c r="A9" t="s">
        <v>106</v>
      </c>
      <c r="B9" t="s">
        <v>107</v>
      </c>
      <c r="C9">
        <v>47672</v>
      </c>
      <c r="D9" t="s">
        <v>8</v>
      </c>
      <c r="E9">
        <v>0</v>
      </c>
      <c r="F9" t="s">
        <v>12</v>
      </c>
    </row>
    <row r="10" spans="1:10" x14ac:dyDescent="0.35">
      <c r="A10" t="s">
        <v>110</v>
      </c>
      <c r="B10" t="s">
        <v>111</v>
      </c>
      <c r="C10">
        <v>47672</v>
      </c>
      <c r="D10" t="s">
        <v>8</v>
      </c>
      <c r="E10">
        <v>0</v>
      </c>
      <c r="F10" t="s">
        <v>12</v>
      </c>
    </row>
    <row r="11" spans="1:10" x14ac:dyDescent="0.35">
      <c r="A11" t="s">
        <v>96</v>
      </c>
      <c r="B11" t="s">
        <v>97</v>
      </c>
      <c r="C11">
        <v>47670</v>
      </c>
      <c r="D11" t="s">
        <v>8</v>
      </c>
      <c r="E11">
        <v>0</v>
      </c>
      <c r="F11" t="s">
        <v>12</v>
      </c>
    </row>
    <row r="12" spans="1:10" x14ac:dyDescent="0.35">
      <c r="A12" t="s">
        <v>118</v>
      </c>
      <c r="B12" t="s">
        <v>119</v>
      </c>
      <c r="C12">
        <v>47605</v>
      </c>
      <c r="D12" t="s">
        <v>8</v>
      </c>
      <c r="E12">
        <v>0</v>
      </c>
      <c r="F12" t="s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2E59-ED4B-451C-9A01-156C333C61A1}">
  <dimension ref="A1:J6"/>
  <sheetViews>
    <sheetView workbookViewId="0">
      <selection activeCell="B6" sqref="B6"/>
    </sheetView>
  </sheetViews>
  <sheetFormatPr defaultRowHeight="14.5" x14ac:dyDescent="0.35"/>
  <cols>
    <col min="1" max="1" width="48.6328125" bestFit="1" customWidth="1"/>
    <col min="2" max="2" width="48.179687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122</v>
      </c>
      <c r="B2" t="s">
        <v>123</v>
      </c>
      <c r="C2">
        <v>3834418</v>
      </c>
      <c r="D2" t="s">
        <v>8</v>
      </c>
      <c r="E2">
        <v>0</v>
      </c>
      <c r="F2" t="s">
        <v>91</v>
      </c>
      <c r="G2">
        <f>SUM(C2:C100)</f>
        <v>10604502</v>
      </c>
      <c r="H2">
        <f>COUNT(C2:C100)</f>
        <v>5</v>
      </c>
      <c r="I2">
        <f>COUNTIF(F2:F100, "Approved")</f>
        <v>0</v>
      </c>
      <c r="J2">
        <f>SUM(E2:E100)</f>
        <v>0</v>
      </c>
    </row>
    <row r="3" spans="1:10" x14ac:dyDescent="0.35">
      <c r="A3" t="s">
        <v>124</v>
      </c>
      <c r="B3" t="s">
        <v>125</v>
      </c>
      <c r="C3">
        <v>3753638</v>
      </c>
      <c r="D3" t="s">
        <v>8</v>
      </c>
      <c r="E3">
        <v>0</v>
      </c>
      <c r="F3" t="s">
        <v>91</v>
      </c>
    </row>
    <row r="4" spans="1:10" x14ac:dyDescent="0.35">
      <c r="A4" t="s">
        <v>102</v>
      </c>
      <c r="B4" t="s">
        <v>103</v>
      </c>
      <c r="C4">
        <v>2567047</v>
      </c>
      <c r="D4" t="s">
        <v>8</v>
      </c>
      <c r="E4">
        <v>0</v>
      </c>
      <c r="F4" t="s">
        <v>91</v>
      </c>
    </row>
    <row r="5" spans="1:10" x14ac:dyDescent="0.35">
      <c r="A5" t="s">
        <v>100</v>
      </c>
      <c r="B5" t="s">
        <v>101</v>
      </c>
      <c r="C5">
        <v>449392</v>
      </c>
      <c r="D5" t="s">
        <v>8</v>
      </c>
      <c r="E5">
        <v>0</v>
      </c>
      <c r="F5" t="s">
        <v>91</v>
      </c>
    </row>
    <row r="6" spans="1:10" x14ac:dyDescent="0.35">
      <c r="A6" t="s">
        <v>126</v>
      </c>
      <c r="B6" t="s">
        <v>127</v>
      </c>
      <c r="C6">
        <v>7</v>
      </c>
      <c r="D6" t="s">
        <v>128</v>
      </c>
      <c r="E6">
        <v>0</v>
      </c>
      <c r="F6" t="s">
        <v>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908A-D0AF-4724-8145-D3F9EA41D0EE}">
  <dimension ref="A1:J4"/>
  <sheetViews>
    <sheetView workbookViewId="0">
      <selection activeCell="B4" sqref="B4"/>
    </sheetView>
  </sheetViews>
  <sheetFormatPr defaultRowHeight="14.5" x14ac:dyDescent="0.35"/>
  <cols>
    <col min="1" max="1" width="45.08984375" bestFit="1" customWidth="1"/>
    <col min="2" max="2" width="46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89</v>
      </c>
      <c r="B2" t="s">
        <v>90</v>
      </c>
      <c r="C2">
        <v>464009</v>
      </c>
      <c r="D2" t="s">
        <v>8</v>
      </c>
      <c r="E2">
        <v>36578</v>
      </c>
      <c r="F2" t="s">
        <v>91</v>
      </c>
      <c r="G2">
        <f>SUM(C2:C100)</f>
        <v>813264</v>
      </c>
      <c r="H2">
        <f>COUNT(C2:C100)</f>
        <v>3</v>
      </c>
      <c r="I2">
        <f>COUNTIF(F2:F100, "Approved")</f>
        <v>1</v>
      </c>
      <c r="J2">
        <f>SUM(E2:E100)</f>
        <v>112255</v>
      </c>
    </row>
    <row r="3" spans="1:10" x14ac:dyDescent="0.35">
      <c r="A3" t="s">
        <v>92</v>
      </c>
      <c r="B3" t="s">
        <v>93</v>
      </c>
      <c r="C3">
        <v>115386</v>
      </c>
      <c r="D3" t="s">
        <v>8</v>
      </c>
      <c r="E3">
        <v>36578</v>
      </c>
      <c r="F3" t="s">
        <v>12</v>
      </c>
    </row>
    <row r="4" spans="1:10" x14ac:dyDescent="0.35">
      <c r="A4" t="s">
        <v>94</v>
      </c>
      <c r="B4" t="s">
        <v>95</v>
      </c>
      <c r="C4">
        <v>233869</v>
      </c>
      <c r="D4" t="s">
        <v>8</v>
      </c>
      <c r="E4">
        <v>39099</v>
      </c>
      <c r="F4" t="s">
        <v>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AE61-4491-45EE-9DF0-8AC33BF5C917}">
  <dimension ref="A1:J6"/>
  <sheetViews>
    <sheetView workbookViewId="0">
      <selection activeCell="A4" sqref="A4"/>
    </sheetView>
  </sheetViews>
  <sheetFormatPr defaultRowHeight="14.5" x14ac:dyDescent="0.35"/>
  <cols>
    <col min="1" max="1" width="48.7265625" bestFit="1" customWidth="1"/>
    <col min="2" max="2" width="46.726562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264</v>
      </c>
      <c r="B2" t="s">
        <v>265</v>
      </c>
      <c r="C2">
        <v>10001</v>
      </c>
      <c r="D2" t="s">
        <v>8</v>
      </c>
      <c r="E2">
        <v>0</v>
      </c>
      <c r="F2" t="s">
        <v>91</v>
      </c>
      <c r="G2">
        <f>SUM(C2:C100)</f>
        <v>3642449</v>
      </c>
      <c r="H2">
        <f>COUNT(C2:C100)</f>
        <v>5</v>
      </c>
      <c r="I2">
        <f>COUNTIF(F2:F100, "Approved")</f>
        <v>0</v>
      </c>
      <c r="J2">
        <f>SUM(E2:E100)</f>
        <v>0</v>
      </c>
    </row>
    <row r="3" spans="1:10" x14ac:dyDescent="0.35">
      <c r="A3" t="s">
        <v>266</v>
      </c>
      <c r="B3" t="s">
        <v>267</v>
      </c>
      <c r="C3">
        <v>10009</v>
      </c>
      <c r="D3" t="s">
        <v>8</v>
      </c>
      <c r="E3">
        <v>0</v>
      </c>
      <c r="F3" t="s">
        <v>91</v>
      </c>
    </row>
    <row r="4" spans="1:10" x14ac:dyDescent="0.35">
      <c r="A4" t="s">
        <v>268</v>
      </c>
      <c r="B4" t="s">
        <v>269</v>
      </c>
      <c r="C4">
        <v>36906</v>
      </c>
      <c r="D4" t="s">
        <v>8</v>
      </c>
      <c r="E4">
        <v>0</v>
      </c>
      <c r="F4" t="s">
        <v>91</v>
      </c>
    </row>
    <row r="5" spans="1:10" x14ac:dyDescent="0.35">
      <c r="A5" t="s">
        <v>270</v>
      </c>
      <c r="B5" t="s">
        <v>271</v>
      </c>
      <c r="C5">
        <v>3047310</v>
      </c>
      <c r="D5" t="s">
        <v>8</v>
      </c>
      <c r="E5">
        <v>0</v>
      </c>
      <c r="F5" t="s">
        <v>91</v>
      </c>
    </row>
    <row r="6" spans="1:10" x14ac:dyDescent="0.35">
      <c r="A6" t="s">
        <v>272</v>
      </c>
      <c r="B6" t="s">
        <v>273</v>
      </c>
      <c r="C6">
        <v>538223</v>
      </c>
      <c r="D6" t="s">
        <v>8</v>
      </c>
      <c r="E6">
        <v>0</v>
      </c>
      <c r="F6" t="s">
        <v>91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A14F-E383-4256-A459-A92E475108E6}">
  <dimension ref="A1:J4"/>
  <sheetViews>
    <sheetView workbookViewId="0">
      <selection activeCell="B3" sqref="B3"/>
    </sheetView>
  </sheetViews>
  <sheetFormatPr defaultRowHeight="14.5" x14ac:dyDescent="0.35"/>
  <cols>
    <col min="1" max="2" width="46.179687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258</v>
      </c>
      <c r="B2" t="s">
        <v>259</v>
      </c>
      <c r="C2">
        <v>50209</v>
      </c>
      <c r="D2" t="s">
        <v>8</v>
      </c>
      <c r="E2">
        <v>0</v>
      </c>
      <c r="F2" t="s">
        <v>12</v>
      </c>
      <c r="G2">
        <f>SUM(C2:C100)</f>
        <v>172084</v>
      </c>
      <c r="H2">
        <f>COUNT(C2:C100)</f>
        <v>3</v>
      </c>
      <c r="I2">
        <f>COUNTIF(F2:F100, "Approved")</f>
        <v>3</v>
      </c>
      <c r="J2">
        <f>SUM(E2:E100)</f>
        <v>36578</v>
      </c>
    </row>
    <row r="3" spans="1:10" x14ac:dyDescent="0.35">
      <c r="A3" t="s">
        <v>260</v>
      </c>
      <c r="B3" t="s">
        <v>261</v>
      </c>
      <c r="C3">
        <v>91310</v>
      </c>
      <c r="D3" t="s">
        <v>8</v>
      </c>
      <c r="E3">
        <v>36578</v>
      </c>
      <c r="F3" t="s">
        <v>12</v>
      </c>
    </row>
    <row r="4" spans="1:10" x14ac:dyDescent="0.35">
      <c r="A4" t="s">
        <v>262</v>
      </c>
      <c r="B4" t="s">
        <v>263</v>
      </c>
      <c r="C4">
        <v>30565</v>
      </c>
      <c r="D4" t="s">
        <v>8</v>
      </c>
      <c r="E4">
        <v>0</v>
      </c>
      <c r="F4" t="s">
        <v>12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0A0B-2D55-46ED-9D0C-2E20E12C7E3C}">
  <dimension ref="A1:J5"/>
  <sheetViews>
    <sheetView workbookViewId="0">
      <selection activeCell="B4" sqref="B4"/>
    </sheetView>
  </sheetViews>
  <sheetFormatPr defaultRowHeight="14.5" x14ac:dyDescent="0.35"/>
  <cols>
    <col min="1" max="1" width="45.453125" bestFit="1" customWidth="1"/>
    <col min="2" max="2" width="47.45312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250</v>
      </c>
      <c r="B2" t="s">
        <v>251</v>
      </c>
      <c r="C2">
        <v>44891</v>
      </c>
      <c r="D2" t="s">
        <v>8</v>
      </c>
      <c r="E2">
        <v>0</v>
      </c>
      <c r="F2" t="s">
        <v>91</v>
      </c>
      <c r="G2">
        <f>SUM(C2:C100)</f>
        <v>4515953</v>
      </c>
      <c r="H2">
        <f>COUNT(C2:C100)</f>
        <v>4</v>
      </c>
      <c r="I2">
        <f>COUNTIF(F2:F100, "Approved")</f>
        <v>0</v>
      </c>
      <c r="J2">
        <f>SUM(E2:E100)</f>
        <v>0</v>
      </c>
    </row>
    <row r="3" spans="1:10" x14ac:dyDescent="0.35">
      <c r="A3" t="s">
        <v>252</v>
      </c>
      <c r="B3" t="s">
        <v>253</v>
      </c>
      <c r="C3">
        <v>52773</v>
      </c>
      <c r="D3" t="s">
        <v>8</v>
      </c>
      <c r="E3">
        <v>0</v>
      </c>
      <c r="F3" t="s">
        <v>91</v>
      </c>
    </row>
    <row r="4" spans="1:10" x14ac:dyDescent="0.35">
      <c r="A4" t="s">
        <v>254</v>
      </c>
      <c r="B4" t="s">
        <v>255</v>
      </c>
      <c r="C4">
        <v>787225</v>
      </c>
      <c r="D4" t="s">
        <v>8</v>
      </c>
      <c r="E4">
        <v>0</v>
      </c>
      <c r="F4" t="s">
        <v>91</v>
      </c>
    </row>
    <row r="5" spans="1:10" x14ac:dyDescent="0.35">
      <c r="A5" t="s">
        <v>256</v>
      </c>
      <c r="B5" t="s">
        <v>257</v>
      </c>
      <c r="C5">
        <v>3631064</v>
      </c>
      <c r="D5" t="s">
        <v>8</v>
      </c>
      <c r="E5">
        <v>0</v>
      </c>
      <c r="F5" t="s">
        <v>91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6A1D-FF4D-42AD-863F-51134BE3F3C5}">
  <dimension ref="A1:J22"/>
  <sheetViews>
    <sheetView workbookViewId="0">
      <selection activeCell="B6" sqref="B6"/>
    </sheetView>
  </sheetViews>
  <sheetFormatPr defaultRowHeight="14.5" x14ac:dyDescent="0.35"/>
  <cols>
    <col min="1" max="1" width="48.7265625" bestFit="1" customWidth="1"/>
    <col min="2" max="2" width="48.5429687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282</v>
      </c>
      <c r="B2" t="s">
        <v>283</v>
      </c>
      <c r="C2">
        <v>343014</v>
      </c>
      <c r="D2" t="s">
        <v>8</v>
      </c>
      <c r="E2">
        <v>0</v>
      </c>
      <c r="F2" t="s">
        <v>12</v>
      </c>
      <c r="G2">
        <f>SUM(C2:C100)</f>
        <v>4355881</v>
      </c>
      <c r="H2">
        <f>COUNT(C2:C100)</f>
        <v>21</v>
      </c>
      <c r="I2">
        <f>COUNTIF(F2:F100, "Approved")</f>
        <v>20</v>
      </c>
      <c r="J2">
        <f>SUM(E2:E100)</f>
        <v>219456</v>
      </c>
    </row>
    <row r="3" spans="1:10" x14ac:dyDescent="0.35">
      <c r="A3" t="s">
        <v>284</v>
      </c>
      <c r="B3" t="s">
        <v>285</v>
      </c>
      <c r="C3">
        <v>310122</v>
      </c>
      <c r="D3" t="s">
        <v>8</v>
      </c>
      <c r="E3">
        <v>0</v>
      </c>
      <c r="F3" t="s">
        <v>12</v>
      </c>
    </row>
    <row r="4" spans="1:10" x14ac:dyDescent="0.35">
      <c r="A4" t="s">
        <v>288</v>
      </c>
      <c r="B4" t="s">
        <v>289</v>
      </c>
      <c r="C4">
        <v>290217</v>
      </c>
      <c r="D4" t="s">
        <v>8</v>
      </c>
      <c r="E4">
        <v>36578</v>
      </c>
      <c r="F4" t="s">
        <v>12</v>
      </c>
    </row>
    <row r="5" spans="1:10" x14ac:dyDescent="0.35">
      <c r="A5" t="s">
        <v>306</v>
      </c>
      <c r="B5" t="s">
        <v>307</v>
      </c>
      <c r="C5">
        <v>283252</v>
      </c>
      <c r="D5" t="s">
        <v>8</v>
      </c>
      <c r="E5">
        <v>0</v>
      </c>
      <c r="F5" t="s">
        <v>12</v>
      </c>
    </row>
    <row r="6" spans="1:10" x14ac:dyDescent="0.35">
      <c r="A6" t="s">
        <v>294</v>
      </c>
      <c r="B6" t="s">
        <v>295</v>
      </c>
      <c r="C6">
        <v>263740</v>
      </c>
      <c r="D6" t="s">
        <v>8</v>
      </c>
      <c r="E6">
        <v>0</v>
      </c>
      <c r="F6" t="s">
        <v>12</v>
      </c>
    </row>
    <row r="7" spans="1:10" x14ac:dyDescent="0.35">
      <c r="A7" t="s">
        <v>302</v>
      </c>
      <c r="B7" t="s">
        <v>303</v>
      </c>
      <c r="C7">
        <v>262679</v>
      </c>
      <c r="D7" t="s">
        <v>8</v>
      </c>
      <c r="E7">
        <v>36578</v>
      </c>
      <c r="F7" t="s">
        <v>12</v>
      </c>
    </row>
    <row r="8" spans="1:10" x14ac:dyDescent="0.35">
      <c r="A8" t="s">
        <v>276</v>
      </c>
      <c r="B8" t="s">
        <v>277</v>
      </c>
      <c r="C8">
        <v>258198</v>
      </c>
      <c r="D8" t="s">
        <v>8</v>
      </c>
      <c r="E8">
        <v>0</v>
      </c>
      <c r="F8" t="s">
        <v>12</v>
      </c>
    </row>
    <row r="9" spans="1:10" x14ac:dyDescent="0.35">
      <c r="A9" t="s">
        <v>292</v>
      </c>
      <c r="B9" t="s">
        <v>293</v>
      </c>
      <c r="C9">
        <v>247212</v>
      </c>
      <c r="D9" t="s">
        <v>8</v>
      </c>
      <c r="E9">
        <v>36566</v>
      </c>
      <c r="F9" t="s">
        <v>12</v>
      </c>
    </row>
    <row r="10" spans="1:10" x14ac:dyDescent="0.35">
      <c r="A10" t="s">
        <v>296</v>
      </c>
      <c r="B10" t="s">
        <v>297</v>
      </c>
      <c r="C10">
        <v>244441</v>
      </c>
      <c r="D10" t="s">
        <v>8</v>
      </c>
      <c r="E10">
        <v>0</v>
      </c>
      <c r="F10" t="s">
        <v>12</v>
      </c>
    </row>
    <row r="11" spans="1:10" x14ac:dyDescent="0.35">
      <c r="A11" t="s">
        <v>300</v>
      </c>
      <c r="B11" t="s">
        <v>301</v>
      </c>
      <c r="C11">
        <v>242890</v>
      </c>
      <c r="D11" t="s">
        <v>8</v>
      </c>
      <c r="E11">
        <v>0</v>
      </c>
      <c r="F11" t="s">
        <v>12</v>
      </c>
    </row>
    <row r="12" spans="1:10" x14ac:dyDescent="0.35">
      <c r="A12" t="s">
        <v>280</v>
      </c>
      <c r="B12" t="s">
        <v>281</v>
      </c>
      <c r="C12">
        <v>240577</v>
      </c>
      <c r="D12" t="s">
        <v>8</v>
      </c>
      <c r="E12">
        <v>0</v>
      </c>
      <c r="F12" t="s">
        <v>12</v>
      </c>
    </row>
    <row r="13" spans="1:10" x14ac:dyDescent="0.35">
      <c r="A13" t="s">
        <v>290</v>
      </c>
      <c r="B13" t="s">
        <v>291</v>
      </c>
      <c r="C13">
        <v>212953</v>
      </c>
      <c r="D13" t="s">
        <v>8</v>
      </c>
      <c r="E13">
        <v>0</v>
      </c>
      <c r="F13" t="s">
        <v>12</v>
      </c>
    </row>
    <row r="14" spans="1:10" x14ac:dyDescent="0.35">
      <c r="A14" t="s">
        <v>308</v>
      </c>
      <c r="B14" t="s">
        <v>309</v>
      </c>
      <c r="C14">
        <v>203665</v>
      </c>
      <c r="D14" t="s">
        <v>8</v>
      </c>
      <c r="E14">
        <v>0</v>
      </c>
      <c r="F14" t="s">
        <v>12</v>
      </c>
    </row>
    <row r="15" spans="1:10" x14ac:dyDescent="0.35">
      <c r="A15" t="s">
        <v>274</v>
      </c>
      <c r="B15" t="s">
        <v>275</v>
      </c>
      <c r="C15">
        <v>192970</v>
      </c>
      <c r="D15" t="s">
        <v>8</v>
      </c>
      <c r="E15">
        <v>0</v>
      </c>
      <c r="F15" t="s">
        <v>12</v>
      </c>
    </row>
    <row r="16" spans="1:10" x14ac:dyDescent="0.35">
      <c r="A16" t="s">
        <v>286</v>
      </c>
      <c r="B16" t="s">
        <v>287</v>
      </c>
      <c r="C16">
        <v>190243</v>
      </c>
      <c r="D16" t="s">
        <v>8</v>
      </c>
      <c r="E16">
        <v>36578</v>
      </c>
      <c r="F16" t="s">
        <v>12</v>
      </c>
    </row>
    <row r="17" spans="1:6" x14ac:dyDescent="0.35">
      <c r="A17" t="s">
        <v>298</v>
      </c>
      <c r="B17" t="s">
        <v>299</v>
      </c>
      <c r="C17">
        <v>168204</v>
      </c>
      <c r="D17" t="s">
        <v>8</v>
      </c>
      <c r="E17">
        <v>0</v>
      </c>
      <c r="F17" t="s">
        <v>12</v>
      </c>
    </row>
    <row r="18" spans="1:6" x14ac:dyDescent="0.35">
      <c r="A18" t="s">
        <v>278</v>
      </c>
      <c r="B18" t="s">
        <v>279</v>
      </c>
      <c r="C18">
        <v>124172</v>
      </c>
      <c r="D18" t="s">
        <v>8</v>
      </c>
      <c r="E18">
        <v>36578</v>
      </c>
      <c r="F18" t="s">
        <v>12</v>
      </c>
    </row>
    <row r="19" spans="1:6" x14ac:dyDescent="0.35">
      <c r="A19" t="s">
        <v>304</v>
      </c>
      <c r="B19" t="s">
        <v>305</v>
      </c>
      <c r="C19">
        <v>117330</v>
      </c>
      <c r="D19" t="s">
        <v>8</v>
      </c>
      <c r="E19">
        <v>0</v>
      </c>
      <c r="F19" t="s">
        <v>12</v>
      </c>
    </row>
    <row r="20" spans="1:6" x14ac:dyDescent="0.35">
      <c r="A20" t="s">
        <v>312</v>
      </c>
      <c r="B20" t="s">
        <v>313</v>
      </c>
      <c r="C20">
        <v>100162</v>
      </c>
      <c r="D20" t="s">
        <v>8</v>
      </c>
      <c r="E20">
        <v>36578</v>
      </c>
      <c r="F20" t="s">
        <v>12</v>
      </c>
    </row>
    <row r="21" spans="1:6" x14ac:dyDescent="0.35">
      <c r="A21" t="s">
        <v>310</v>
      </c>
      <c r="B21" t="s">
        <v>311</v>
      </c>
      <c r="C21">
        <v>59657</v>
      </c>
      <c r="D21" t="s">
        <v>8</v>
      </c>
      <c r="E21">
        <v>0</v>
      </c>
      <c r="F21" t="s">
        <v>12</v>
      </c>
    </row>
    <row r="22" spans="1:6" x14ac:dyDescent="0.35">
      <c r="A22" t="s">
        <v>6</v>
      </c>
      <c r="B22" t="s">
        <v>7</v>
      </c>
      <c r="C22">
        <v>183</v>
      </c>
      <c r="D22" t="s">
        <v>8</v>
      </c>
      <c r="E22">
        <v>0</v>
      </c>
      <c r="F22" t="s">
        <v>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8E0B-A9CF-46A7-9DDF-F4D7D0C48674}">
  <dimension ref="A1:J7"/>
  <sheetViews>
    <sheetView workbookViewId="0">
      <selection activeCell="A3" sqref="A3"/>
    </sheetView>
  </sheetViews>
  <sheetFormatPr defaultRowHeight="14.5" x14ac:dyDescent="0.35"/>
  <cols>
    <col min="1" max="1" width="47.90625" bestFit="1" customWidth="1"/>
    <col min="2" max="2" width="47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240</v>
      </c>
      <c r="B2" t="s">
        <v>241</v>
      </c>
      <c r="C2">
        <v>170538</v>
      </c>
      <c r="D2" t="s">
        <v>8</v>
      </c>
      <c r="E2">
        <v>0</v>
      </c>
      <c r="F2" t="s">
        <v>12</v>
      </c>
      <c r="G2">
        <f>SUM(C2:C100)</f>
        <v>569166</v>
      </c>
      <c r="H2">
        <f>COUNT(C2:C100)</f>
        <v>6</v>
      </c>
      <c r="I2">
        <f>COUNTIF(F2:F100, "Approved")</f>
        <v>6</v>
      </c>
      <c r="J2">
        <f>SUM(E2:E100)</f>
        <v>36578</v>
      </c>
    </row>
    <row r="3" spans="1:10" x14ac:dyDescent="0.35">
      <c r="A3" t="s">
        <v>248</v>
      </c>
      <c r="B3" t="s">
        <v>249</v>
      </c>
      <c r="C3">
        <v>105549</v>
      </c>
      <c r="D3" t="s">
        <v>8</v>
      </c>
      <c r="E3">
        <v>36578</v>
      </c>
      <c r="F3" t="s">
        <v>12</v>
      </c>
    </row>
    <row r="4" spans="1:10" x14ac:dyDescent="0.35">
      <c r="A4" t="s">
        <v>238</v>
      </c>
      <c r="B4" t="s">
        <v>239</v>
      </c>
      <c r="C4">
        <v>87190</v>
      </c>
      <c r="D4" t="s">
        <v>8</v>
      </c>
      <c r="E4">
        <v>0</v>
      </c>
      <c r="F4" t="s">
        <v>12</v>
      </c>
    </row>
    <row r="5" spans="1:10" x14ac:dyDescent="0.35">
      <c r="A5" t="s">
        <v>242</v>
      </c>
      <c r="B5" t="s">
        <v>243</v>
      </c>
      <c r="C5">
        <v>76754</v>
      </c>
      <c r="D5" t="s">
        <v>8</v>
      </c>
      <c r="E5">
        <v>0</v>
      </c>
      <c r="F5" t="s">
        <v>12</v>
      </c>
    </row>
    <row r="6" spans="1:10" x14ac:dyDescent="0.35">
      <c r="A6" t="s">
        <v>244</v>
      </c>
      <c r="B6" t="s">
        <v>245</v>
      </c>
      <c r="C6">
        <v>68937</v>
      </c>
      <c r="D6" t="s">
        <v>8</v>
      </c>
      <c r="E6">
        <v>0</v>
      </c>
      <c r="F6" t="s">
        <v>12</v>
      </c>
    </row>
    <row r="7" spans="1:10" x14ac:dyDescent="0.35">
      <c r="A7" t="s">
        <v>246</v>
      </c>
      <c r="B7" t="s">
        <v>247</v>
      </c>
      <c r="C7">
        <v>60198</v>
      </c>
      <c r="D7" t="s">
        <v>8</v>
      </c>
      <c r="E7">
        <v>0</v>
      </c>
      <c r="F7" t="s">
        <v>12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0B74-0F9B-409C-AEDE-AF0A0FF9A3ED}">
  <dimension ref="A1:J6"/>
  <sheetViews>
    <sheetView workbookViewId="0">
      <selection activeCell="A3" sqref="A3"/>
    </sheetView>
  </sheetViews>
  <sheetFormatPr defaultRowHeight="14.5" x14ac:dyDescent="0.35"/>
  <cols>
    <col min="1" max="1" width="48.6328125" bestFit="1" customWidth="1"/>
    <col min="2" max="2" width="47.6328125" bestFit="1" customWidth="1"/>
    <col min="3" max="3" width="12.7265625" bestFit="1" customWidth="1"/>
    <col min="4" max="4" width="9.90625" bestFit="1" customWidth="1"/>
    <col min="5" max="6" width="16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183</v>
      </c>
      <c r="B2" t="s">
        <v>184</v>
      </c>
      <c r="C2">
        <v>214640</v>
      </c>
      <c r="D2" t="s">
        <v>8</v>
      </c>
      <c r="E2">
        <v>0</v>
      </c>
      <c r="F2" t="s">
        <v>12</v>
      </c>
      <c r="G2">
        <f>SUM(C2:C100)</f>
        <v>621227</v>
      </c>
      <c r="H2">
        <f>COUNT(C2:C100)</f>
        <v>5</v>
      </c>
      <c r="I2">
        <f>COUNTIF(F2:F100, "Approved")</f>
        <v>4</v>
      </c>
      <c r="J2">
        <f>SUM(E2:E100)</f>
        <v>39098</v>
      </c>
    </row>
    <row r="3" spans="1:10" x14ac:dyDescent="0.35">
      <c r="A3" t="s">
        <v>192</v>
      </c>
      <c r="B3" t="s">
        <v>193</v>
      </c>
      <c r="C3">
        <v>204478</v>
      </c>
      <c r="D3" t="s">
        <v>8</v>
      </c>
      <c r="E3">
        <v>39098</v>
      </c>
      <c r="F3" t="s">
        <v>12</v>
      </c>
    </row>
    <row r="4" spans="1:10" x14ac:dyDescent="0.35">
      <c r="A4" t="s">
        <v>190</v>
      </c>
      <c r="B4" t="s">
        <v>191</v>
      </c>
      <c r="C4">
        <v>114484</v>
      </c>
      <c r="D4" t="s">
        <v>8</v>
      </c>
      <c r="E4">
        <v>0</v>
      </c>
      <c r="F4" t="s">
        <v>12</v>
      </c>
    </row>
    <row r="5" spans="1:10" x14ac:dyDescent="0.35">
      <c r="A5" t="s">
        <v>188</v>
      </c>
      <c r="B5" t="s">
        <v>189</v>
      </c>
      <c r="C5">
        <v>86429</v>
      </c>
      <c r="D5" t="s">
        <v>8</v>
      </c>
      <c r="E5">
        <v>0</v>
      </c>
      <c r="F5" t="s">
        <v>12</v>
      </c>
    </row>
    <row r="6" spans="1:10" x14ac:dyDescent="0.35">
      <c r="A6" t="s">
        <v>185</v>
      </c>
      <c r="B6" t="s">
        <v>186</v>
      </c>
      <c r="C6">
        <v>1196</v>
      </c>
      <c r="D6" t="s">
        <v>128</v>
      </c>
      <c r="E6">
        <v>0</v>
      </c>
      <c r="F6" t="s">
        <v>187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D5BE-84B6-47D3-957C-FF88833D2BE6}">
  <dimension ref="A1:J6"/>
  <sheetViews>
    <sheetView workbookViewId="0">
      <selection activeCell="B5" sqref="B5"/>
    </sheetView>
  </sheetViews>
  <sheetFormatPr defaultRowHeight="14.5" x14ac:dyDescent="0.35"/>
  <cols>
    <col min="1" max="1" width="46.6328125" bestFit="1" customWidth="1"/>
    <col min="2" max="2" width="48.5429687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228</v>
      </c>
      <c r="B2" t="s">
        <v>229</v>
      </c>
      <c r="C2">
        <v>108742</v>
      </c>
      <c r="D2" t="s">
        <v>8</v>
      </c>
      <c r="E2">
        <v>36578</v>
      </c>
      <c r="F2" t="s">
        <v>12</v>
      </c>
      <c r="G2">
        <f>SUM(C2:C100)</f>
        <v>375597</v>
      </c>
      <c r="H2">
        <f>COUNT(C2:C100)</f>
        <v>5</v>
      </c>
      <c r="I2">
        <f>COUNTIF(F2:F100, "Approved")</f>
        <v>3</v>
      </c>
      <c r="J2">
        <f>SUM(E2:E100)</f>
        <v>109734</v>
      </c>
    </row>
    <row r="3" spans="1:10" x14ac:dyDescent="0.35">
      <c r="A3" t="s">
        <v>232</v>
      </c>
      <c r="B3" t="s">
        <v>233</v>
      </c>
      <c r="C3">
        <v>102886</v>
      </c>
      <c r="D3" t="s">
        <v>8</v>
      </c>
      <c r="E3">
        <v>36578</v>
      </c>
      <c r="F3" t="s">
        <v>12</v>
      </c>
    </row>
    <row r="4" spans="1:10" x14ac:dyDescent="0.35">
      <c r="A4" t="s">
        <v>230</v>
      </c>
      <c r="B4" t="s">
        <v>231</v>
      </c>
      <c r="C4">
        <v>100247</v>
      </c>
      <c r="D4" t="s">
        <v>8</v>
      </c>
      <c r="E4">
        <v>36578</v>
      </c>
      <c r="F4" t="s">
        <v>12</v>
      </c>
    </row>
    <row r="5" spans="1:10" x14ac:dyDescent="0.35">
      <c r="A5" t="s">
        <v>236</v>
      </c>
      <c r="B5" t="s">
        <v>237</v>
      </c>
      <c r="C5">
        <v>47924</v>
      </c>
      <c r="D5" t="s">
        <v>8</v>
      </c>
      <c r="E5">
        <v>0</v>
      </c>
      <c r="F5" t="s">
        <v>91</v>
      </c>
    </row>
    <row r="6" spans="1:10" x14ac:dyDescent="0.35">
      <c r="A6" t="s">
        <v>234</v>
      </c>
      <c r="B6" t="s">
        <v>235</v>
      </c>
      <c r="C6">
        <v>15798</v>
      </c>
      <c r="D6" t="s">
        <v>8</v>
      </c>
      <c r="E6">
        <v>0</v>
      </c>
      <c r="F6" t="s">
        <v>91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484F-BD54-43FF-A67F-391FB3F8295B}">
  <dimension ref="A1:J18"/>
  <sheetViews>
    <sheetView workbookViewId="0">
      <selection activeCell="B6" sqref="B6"/>
    </sheetView>
  </sheetViews>
  <sheetFormatPr defaultRowHeight="14.5" x14ac:dyDescent="0.35"/>
  <cols>
    <col min="1" max="1" width="47.36328125" bestFit="1" customWidth="1"/>
    <col min="2" max="2" width="47.81640625" bestFit="1" customWidth="1"/>
    <col min="3" max="3" width="12.7265625" bestFit="1" customWidth="1"/>
    <col min="4" max="4" width="9.90625" bestFit="1" customWidth="1"/>
    <col min="5" max="5" width="16" bestFit="1" customWidth="1"/>
    <col min="6" max="6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315</v>
      </c>
      <c r="H1" t="s">
        <v>316</v>
      </c>
      <c r="I1" t="s">
        <v>317</v>
      </c>
      <c r="J1" t="s">
        <v>318</v>
      </c>
    </row>
    <row r="2" spans="1:10" x14ac:dyDescent="0.35">
      <c r="A2" t="s">
        <v>194</v>
      </c>
      <c r="B2" t="s">
        <v>195</v>
      </c>
      <c r="C2">
        <v>321128</v>
      </c>
      <c r="D2" t="s">
        <v>8</v>
      </c>
      <c r="E2">
        <v>39099</v>
      </c>
      <c r="F2" t="s">
        <v>12</v>
      </c>
      <c r="G2">
        <f>SUM(C2:C100)</f>
        <v>9769892</v>
      </c>
      <c r="H2">
        <f>COUNT(C2:C100)</f>
        <v>17</v>
      </c>
      <c r="I2">
        <f>COUNTIF(F2:F100, "Approved")</f>
        <v>7</v>
      </c>
      <c r="J2">
        <f>SUM(E2:E100)</f>
        <v>700420</v>
      </c>
    </row>
    <row r="3" spans="1:10" x14ac:dyDescent="0.35">
      <c r="A3" t="s">
        <v>196</v>
      </c>
      <c r="B3" t="s">
        <v>197</v>
      </c>
      <c r="C3">
        <v>579</v>
      </c>
      <c r="D3" t="s">
        <v>128</v>
      </c>
      <c r="E3">
        <v>0</v>
      </c>
      <c r="F3" t="s">
        <v>91</v>
      </c>
    </row>
    <row r="4" spans="1:10" x14ac:dyDescent="0.35">
      <c r="A4" t="s">
        <v>198</v>
      </c>
      <c r="B4" t="s">
        <v>199</v>
      </c>
      <c r="C4">
        <v>1121698</v>
      </c>
      <c r="D4" t="s">
        <v>8</v>
      </c>
      <c r="E4">
        <v>36578</v>
      </c>
      <c r="F4" t="s">
        <v>91</v>
      </c>
    </row>
    <row r="5" spans="1:10" x14ac:dyDescent="0.35">
      <c r="A5" t="s">
        <v>200</v>
      </c>
      <c r="B5" t="s">
        <v>201</v>
      </c>
      <c r="C5">
        <v>1101338</v>
      </c>
      <c r="D5" t="s">
        <v>8</v>
      </c>
      <c r="E5">
        <v>36578</v>
      </c>
      <c r="F5" t="s">
        <v>91</v>
      </c>
    </row>
    <row r="6" spans="1:10" x14ac:dyDescent="0.35">
      <c r="A6" t="s">
        <v>202</v>
      </c>
      <c r="B6" t="s">
        <v>203</v>
      </c>
      <c r="C6">
        <v>95790</v>
      </c>
      <c r="D6" t="s">
        <v>8</v>
      </c>
      <c r="E6">
        <v>72210</v>
      </c>
      <c r="F6" t="s">
        <v>91</v>
      </c>
    </row>
    <row r="7" spans="1:10" x14ac:dyDescent="0.35">
      <c r="A7" t="s">
        <v>204</v>
      </c>
      <c r="B7" t="s">
        <v>205</v>
      </c>
      <c r="C7">
        <v>2006207</v>
      </c>
      <c r="D7" t="s">
        <v>8</v>
      </c>
      <c r="E7">
        <v>39099</v>
      </c>
      <c r="F7" t="s">
        <v>91</v>
      </c>
    </row>
    <row r="8" spans="1:10" x14ac:dyDescent="0.35">
      <c r="A8" t="s">
        <v>206</v>
      </c>
      <c r="B8" t="s">
        <v>207</v>
      </c>
      <c r="C8">
        <v>70082</v>
      </c>
      <c r="D8" t="s">
        <v>8</v>
      </c>
      <c r="E8">
        <v>36578</v>
      </c>
      <c r="F8" t="s">
        <v>12</v>
      </c>
    </row>
    <row r="9" spans="1:10" x14ac:dyDescent="0.35">
      <c r="A9" t="s">
        <v>208</v>
      </c>
      <c r="B9" t="s">
        <v>209</v>
      </c>
      <c r="C9">
        <v>1126070</v>
      </c>
      <c r="D9" t="s">
        <v>8</v>
      </c>
      <c r="E9">
        <v>36578</v>
      </c>
      <c r="F9" t="s">
        <v>91</v>
      </c>
    </row>
    <row r="10" spans="1:10" x14ac:dyDescent="0.35">
      <c r="A10" t="s">
        <v>210</v>
      </c>
      <c r="B10" t="s">
        <v>211</v>
      </c>
      <c r="C10">
        <v>714335</v>
      </c>
      <c r="D10" t="s">
        <v>8</v>
      </c>
      <c r="E10">
        <v>36598</v>
      </c>
      <c r="F10" t="s">
        <v>91</v>
      </c>
    </row>
    <row r="11" spans="1:10" x14ac:dyDescent="0.35">
      <c r="A11" t="s">
        <v>212</v>
      </c>
      <c r="B11" t="s">
        <v>213</v>
      </c>
      <c r="C11">
        <v>908367</v>
      </c>
      <c r="D11" t="s">
        <v>8</v>
      </c>
      <c r="E11">
        <v>39099</v>
      </c>
      <c r="F11" t="s">
        <v>12</v>
      </c>
    </row>
    <row r="12" spans="1:10" x14ac:dyDescent="0.35">
      <c r="A12" t="s">
        <v>214</v>
      </c>
      <c r="B12" t="s">
        <v>215</v>
      </c>
      <c r="C12">
        <v>499024</v>
      </c>
      <c r="D12" t="s">
        <v>8</v>
      </c>
      <c r="E12">
        <v>71682</v>
      </c>
      <c r="F12" t="s">
        <v>12</v>
      </c>
    </row>
    <row r="13" spans="1:10" x14ac:dyDescent="0.35">
      <c r="A13" t="s">
        <v>216</v>
      </c>
      <c r="B13" t="s">
        <v>217</v>
      </c>
      <c r="C13">
        <v>202286</v>
      </c>
      <c r="D13" t="s">
        <v>8</v>
      </c>
      <c r="E13">
        <v>71473</v>
      </c>
      <c r="F13" t="s">
        <v>91</v>
      </c>
    </row>
    <row r="14" spans="1:10" x14ac:dyDescent="0.35">
      <c r="A14" t="s">
        <v>218</v>
      </c>
      <c r="B14" t="s">
        <v>219</v>
      </c>
      <c r="C14">
        <v>383211</v>
      </c>
      <c r="D14" t="s">
        <v>8</v>
      </c>
      <c r="E14">
        <v>38536</v>
      </c>
      <c r="F14" t="s">
        <v>91</v>
      </c>
    </row>
    <row r="15" spans="1:10" x14ac:dyDescent="0.35">
      <c r="A15" t="s">
        <v>220</v>
      </c>
      <c r="B15" t="s">
        <v>221</v>
      </c>
      <c r="C15">
        <v>528291</v>
      </c>
      <c r="D15" t="s">
        <v>8</v>
      </c>
      <c r="E15">
        <v>36578</v>
      </c>
      <c r="F15" t="s">
        <v>12</v>
      </c>
    </row>
    <row r="16" spans="1:10" x14ac:dyDescent="0.35">
      <c r="A16" t="s">
        <v>222</v>
      </c>
      <c r="B16" t="s">
        <v>223</v>
      </c>
      <c r="C16">
        <v>381165</v>
      </c>
      <c r="D16" t="s">
        <v>8</v>
      </c>
      <c r="E16">
        <v>36578</v>
      </c>
      <c r="F16" t="s">
        <v>12</v>
      </c>
    </row>
    <row r="17" spans="1:6" x14ac:dyDescent="0.35">
      <c r="A17" t="s">
        <v>224</v>
      </c>
      <c r="B17" t="s">
        <v>225</v>
      </c>
      <c r="C17">
        <v>207568</v>
      </c>
      <c r="D17" t="s">
        <v>8</v>
      </c>
      <c r="E17">
        <v>36578</v>
      </c>
      <c r="F17" t="s">
        <v>12</v>
      </c>
    </row>
    <row r="18" spans="1:6" x14ac:dyDescent="0.35">
      <c r="A18" t="s">
        <v>226</v>
      </c>
      <c r="B18" t="s">
        <v>227</v>
      </c>
      <c r="C18">
        <v>102753</v>
      </c>
      <c r="D18" t="s">
        <v>8</v>
      </c>
      <c r="E18">
        <v>36578</v>
      </c>
      <c r="F18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5FFEF4-75A7-40D1-88E2-D46B84880F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Surfpool</vt:lpstr>
      <vt:lpstr>Coinbase 04</vt:lpstr>
      <vt:lpstr>Sarmina</vt:lpstr>
      <vt:lpstr>Honeybee</vt:lpstr>
      <vt:lpstr>Solana Mobile</vt:lpstr>
      <vt:lpstr>Coinbase 02</vt:lpstr>
      <vt:lpstr>Backpack</vt:lpstr>
      <vt:lpstr>Firedancer Development</vt:lpstr>
      <vt:lpstr>Nomis</vt:lpstr>
      <vt:lpstr>Coinbase</vt:lpstr>
      <vt:lpstr>Hivefi.xyz</vt:lpstr>
      <vt:lpstr>SkipLine</vt:lpstr>
      <vt:lpstr>livechanger</vt:lpstr>
      <vt:lpstr>Akkuria</vt:lpstr>
      <vt:lpstr>CaveyCool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</dc:creator>
  <cp:lastModifiedBy>David Chen</cp:lastModifiedBy>
  <dcterms:created xsi:type="dcterms:W3CDTF">2025-12-13T23:34:34Z</dcterms:created>
  <dcterms:modified xsi:type="dcterms:W3CDTF">2025-12-14T00:03:49Z</dcterms:modified>
</cp:coreProperties>
</file>